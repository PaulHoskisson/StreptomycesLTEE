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7725798389f290/Desktop/University Stuff/Supplementary_SV/Diversity Index and phenotype pictures/"/>
    </mc:Choice>
  </mc:AlternateContent>
  <xr:revisionPtr revIDLastSave="3" documentId="8_{AECF1682-F983-4544-A7C8-61289DA66FDD}" xr6:coauthVersionLast="47" xr6:coauthVersionMax="47" xr10:uidLastSave="{28B3B971-6B78-497D-9BA9-FCDE9B6F6FB2}"/>
  <bookViews>
    <workbookView xWindow="10718" yWindow="0" windowWidth="10965" windowHeight="12863" xr2:uid="{3B3135E4-91B8-4068-B3C5-EE6E583FE9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1" l="1"/>
  <c r="G30" i="1"/>
  <c r="G31" i="1"/>
  <c r="G32" i="1"/>
  <c r="F30" i="1"/>
  <c r="F31" i="1"/>
  <c r="F32" i="1"/>
  <c r="E30" i="1"/>
  <c r="E31" i="1"/>
  <c r="E32" i="1"/>
  <c r="I33" i="1"/>
  <c r="H21" i="1"/>
  <c r="G18" i="1"/>
  <c r="G19" i="1"/>
  <c r="G20" i="1"/>
  <c r="F18" i="1"/>
  <c r="F19" i="1"/>
  <c r="F20" i="1"/>
  <c r="E18" i="1"/>
  <c r="E19" i="1"/>
  <c r="E20" i="1"/>
  <c r="I20" i="1"/>
  <c r="E28" i="1"/>
  <c r="E34" i="1"/>
  <c r="E35" i="1"/>
  <c r="E36" i="1"/>
  <c r="E37" i="1"/>
  <c r="F37" i="1" s="1"/>
  <c r="I39" i="1"/>
  <c r="E23" i="1"/>
  <c r="E24" i="1"/>
  <c r="E25" i="1"/>
  <c r="E12" i="1"/>
  <c r="E13" i="1"/>
  <c r="E14" i="1"/>
  <c r="F14" i="1" s="1"/>
  <c r="E9" i="1"/>
  <c r="E8" i="1"/>
  <c r="F8" i="1" s="1"/>
  <c r="E6" i="1"/>
  <c r="F6" i="1" s="1"/>
  <c r="E2" i="1"/>
  <c r="F2" i="1" s="1"/>
  <c r="E3" i="1"/>
  <c r="F3" i="1" s="1"/>
  <c r="E4" i="1"/>
  <c r="F4" i="1" s="1"/>
  <c r="G9" i="1" l="1"/>
  <c r="G25" i="1"/>
  <c r="F36" i="1"/>
  <c r="G36" i="1" s="1"/>
  <c r="F35" i="1"/>
  <c r="G35" i="1" s="1"/>
  <c r="F9" i="1"/>
  <c r="F25" i="1"/>
  <c r="F13" i="1"/>
  <c r="G13" i="1" s="1"/>
  <c r="G2" i="1"/>
  <c r="H5" i="1" s="1"/>
  <c r="F23" i="1"/>
  <c r="G23" i="1" s="1"/>
  <c r="H26" i="1" s="1"/>
  <c r="G8" i="1"/>
  <c r="H10" i="1" s="1"/>
  <c r="G14" i="1"/>
  <c r="F34" i="1"/>
  <c r="G34" i="1" s="1"/>
  <c r="H38" i="1" s="1"/>
  <c r="F24" i="1"/>
  <c r="G24" i="1" s="1"/>
  <c r="F12" i="1"/>
  <c r="G12" i="1" s="1"/>
  <c r="G6" i="1"/>
  <c r="H7" i="1" s="1"/>
  <c r="F28" i="1"/>
  <c r="G28" i="1" s="1"/>
  <c r="G37" i="1"/>
  <c r="G3" i="1"/>
  <c r="G4" i="1"/>
  <c r="H15" i="1" l="1"/>
</calcChain>
</file>

<file path=xl/sharedStrings.xml><?xml version="1.0" encoding="utf-8"?>
<sst xmlns="http://schemas.openxmlformats.org/spreadsheetml/2006/main" count="51" uniqueCount="18">
  <si>
    <t>Phenotype</t>
  </si>
  <si>
    <t>Frequency</t>
  </si>
  <si>
    <t>Pi</t>
  </si>
  <si>
    <t>ln(Pi)</t>
  </si>
  <si>
    <t>Pi*ln(Pi)</t>
  </si>
  <si>
    <t>Line</t>
  </si>
  <si>
    <t>Timepoint</t>
  </si>
  <si>
    <t>Y3</t>
  </si>
  <si>
    <t>White</t>
  </si>
  <si>
    <t>Bald</t>
  </si>
  <si>
    <t>Grey</t>
  </si>
  <si>
    <t xml:space="preserve">Y3 </t>
  </si>
  <si>
    <t>Y2</t>
  </si>
  <si>
    <t xml:space="preserve">Y2 </t>
  </si>
  <si>
    <t xml:space="preserve">Grey </t>
  </si>
  <si>
    <t xml:space="preserve">Y1 </t>
  </si>
  <si>
    <t>Fractal</t>
  </si>
  <si>
    <t xml:space="preserve">H: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</si>
</sst>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4F3C-CF29-4FCB-84A5-38E51C265F5E}">
  <dimension ref="A1:I39"/>
  <sheetViews>
    <sheetView tabSelected="1" zoomScale="81" workbookViewId="0">
      <selection activeCell="H38" sqref="H38"/>
    </sheetView>
  </sheetViews>
  <sheetFormatPr defaultRowHeight="14.25" x14ac:dyDescent="0.45"/>
  <sheetData>
    <row r="1" spans="1:9" x14ac:dyDescent="0.45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17</v>
      </c>
    </row>
    <row r="2" spans="1:9" x14ac:dyDescent="0.45">
      <c r="A2" t="s">
        <v>7</v>
      </c>
      <c r="B2">
        <v>3000</v>
      </c>
      <c r="C2" t="s">
        <v>10</v>
      </c>
      <c r="D2" s="2">
        <v>55</v>
      </c>
      <c r="E2">
        <f>D2/100</f>
        <v>0.55000000000000004</v>
      </c>
      <c r="F2">
        <f>LN(E2)</f>
        <v>-0.59783700075562041</v>
      </c>
      <c r="G2">
        <f>E2*F2</f>
        <v>-0.32881035041559126</v>
      </c>
    </row>
    <row r="3" spans="1:9" x14ac:dyDescent="0.45">
      <c r="A3" t="s">
        <v>7</v>
      </c>
      <c r="B3">
        <v>3000</v>
      </c>
      <c r="C3" t="s">
        <v>8</v>
      </c>
      <c r="D3" s="2">
        <v>25</v>
      </c>
      <c r="E3">
        <f t="shared" ref="E3:E6" si="0">D3/100</f>
        <v>0.25</v>
      </c>
      <c r="F3">
        <f>LN(E3)</f>
        <v>-1.3862943611198906</v>
      </c>
      <c r="G3">
        <f t="shared" ref="G3:G20" si="1">E3*F3</f>
        <v>-0.34657359027997264</v>
      </c>
    </row>
    <row r="4" spans="1:9" x14ac:dyDescent="0.45">
      <c r="A4" t="s">
        <v>7</v>
      </c>
      <c r="B4">
        <v>3000</v>
      </c>
      <c r="C4" t="s">
        <v>9</v>
      </c>
      <c r="D4" s="2">
        <v>20</v>
      </c>
      <c r="E4">
        <f t="shared" si="0"/>
        <v>0.2</v>
      </c>
      <c r="F4">
        <f>LN(E4)</f>
        <v>-1.6094379124341003</v>
      </c>
      <c r="G4">
        <f t="shared" si="1"/>
        <v>-0.32188758248682009</v>
      </c>
    </row>
    <row r="5" spans="1:9" x14ac:dyDescent="0.45">
      <c r="D5" s="2"/>
      <c r="H5">
        <f>-(SUM(G2:G4))</f>
        <v>0.9972715231823841</v>
      </c>
      <c r="I5" s="1"/>
    </row>
    <row r="6" spans="1:9" x14ac:dyDescent="0.45">
      <c r="A6" t="s">
        <v>11</v>
      </c>
      <c r="B6">
        <v>2000</v>
      </c>
      <c r="C6" t="s">
        <v>10</v>
      </c>
      <c r="D6" s="2">
        <v>100</v>
      </c>
      <c r="E6">
        <f t="shared" si="0"/>
        <v>1</v>
      </c>
      <c r="F6">
        <f>LN(E6)</f>
        <v>0</v>
      </c>
      <c r="G6">
        <f t="shared" si="1"/>
        <v>0</v>
      </c>
    </row>
    <row r="7" spans="1:9" x14ac:dyDescent="0.45">
      <c r="D7" s="2"/>
      <c r="H7">
        <f>-(SUM(G6))</f>
        <v>0</v>
      </c>
    </row>
    <row r="8" spans="1:9" x14ac:dyDescent="0.45">
      <c r="A8" t="s">
        <v>11</v>
      </c>
      <c r="B8">
        <v>1000</v>
      </c>
      <c r="C8" t="s">
        <v>10</v>
      </c>
      <c r="D8" s="2">
        <v>68</v>
      </c>
      <c r="E8">
        <f>D8/100</f>
        <v>0.68</v>
      </c>
      <c r="F8">
        <f t="shared" ref="F8:F20" si="2">LN(E8)</f>
        <v>-0.38566248081198462</v>
      </c>
      <c r="G8">
        <f t="shared" si="1"/>
        <v>-0.26225048695214959</v>
      </c>
    </row>
    <row r="9" spans="1:9" x14ac:dyDescent="0.45">
      <c r="B9">
        <v>1000</v>
      </c>
      <c r="C9" t="s">
        <v>8</v>
      </c>
      <c r="D9" s="2">
        <v>32</v>
      </c>
      <c r="E9">
        <f>D9/100</f>
        <v>0.32</v>
      </c>
      <c r="F9">
        <f t="shared" si="2"/>
        <v>-1.1394342831883648</v>
      </c>
      <c r="G9">
        <f>E9*F9</f>
        <v>-0.36461897062027676</v>
      </c>
    </row>
    <row r="10" spans="1:9" x14ac:dyDescent="0.45">
      <c r="D10" s="2"/>
      <c r="H10">
        <f>-(SUM(G8:G9))</f>
        <v>0.62686945757242629</v>
      </c>
      <c r="I10" s="2"/>
    </row>
    <row r="11" spans="1:9" x14ac:dyDescent="0.45">
      <c r="D11" s="2"/>
    </row>
    <row r="12" spans="1:9" x14ac:dyDescent="0.45">
      <c r="A12" t="s">
        <v>12</v>
      </c>
      <c r="B12">
        <v>3000</v>
      </c>
      <c r="C12" t="s">
        <v>9</v>
      </c>
      <c r="D12" s="2">
        <v>40</v>
      </c>
      <c r="E12">
        <f t="shared" ref="E12:E20" si="3">D12/100</f>
        <v>0.4</v>
      </c>
      <c r="F12">
        <f t="shared" si="2"/>
        <v>-0.916290731874155</v>
      </c>
      <c r="G12">
        <f>E12*F12</f>
        <v>-0.36651629274966202</v>
      </c>
    </row>
    <row r="13" spans="1:9" x14ac:dyDescent="0.45">
      <c r="A13" t="s">
        <v>12</v>
      </c>
      <c r="B13">
        <v>3000</v>
      </c>
      <c r="C13" t="s">
        <v>10</v>
      </c>
      <c r="D13" s="2">
        <v>34</v>
      </c>
      <c r="E13">
        <f t="shared" si="3"/>
        <v>0.34</v>
      </c>
      <c r="F13">
        <f t="shared" si="2"/>
        <v>-1.0788096613719298</v>
      </c>
      <c r="G13">
        <f t="shared" si="1"/>
        <v>-0.36679528486645618</v>
      </c>
    </row>
    <row r="14" spans="1:9" x14ac:dyDescent="0.45">
      <c r="A14" t="s">
        <v>12</v>
      </c>
      <c r="B14">
        <v>3000</v>
      </c>
      <c r="C14" t="s">
        <v>8</v>
      </c>
      <c r="D14" s="2">
        <v>26</v>
      </c>
      <c r="E14">
        <f t="shared" si="3"/>
        <v>0.26</v>
      </c>
      <c r="F14">
        <f t="shared" si="2"/>
        <v>-1.3470736479666092</v>
      </c>
      <c r="G14">
        <f t="shared" si="1"/>
        <v>-0.35023914847131843</v>
      </c>
    </row>
    <row r="15" spans="1:9" x14ac:dyDescent="0.45">
      <c r="D15" s="2"/>
      <c r="H15">
        <f>-(SUM(G12:G14))</f>
        <v>1.0835507260874366</v>
      </c>
    </row>
    <row r="16" spans="1:9" x14ac:dyDescent="0.45">
      <c r="D16" s="2"/>
      <c r="I16" s="2"/>
    </row>
    <row r="17" spans="1:9" x14ac:dyDescent="0.45">
      <c r="D17" s="2"/>
    </row>
    <row r="18" spans="1:9" x14ac:dyDescent="0.45">
      <c r="A18" t="s">
        <v>13</v>
      </c>
      <c r="B18">
        <v>2000</v>
      </c>
      <c r="C18" t="s">
        <v>14</v>
      </c>
      <c r="D18" s="2">
        <v>92</v>
      </c>
      <c r="E18">
        <f t="shared" si="3"/>
        <v>0.92</v>
      </c>
      <c r="F18">
        <f t="shared" si="2"/>
        <v>-8.3381608939051013E-2</v>
      </c>
      <c r="G18">
        <f t="shared" si="1"/>
        <v>-7.6711080223926933E-2</v>
      </c>
    </row>
    <row r="19" spans="1:9" x14ac:dyDescent="0.45">
      <c r="A19" t="s">
        <v>13</v>
      </c>
      <c r="B19">
        <v>2000</v>
      </c>
      <c r="C19" t="s">
        <v>9</v>
      </c>
      <c r="D19" s="2">
        <v>7</v>
      </c>
      <c r="E19">
        <f t="shared" si="3"/>
        <v>7.0000000000000007E-2</v>
      </c>
      <c r="F19">
        <f t="shared" si="2"/>
        <v>-2.6592600369327779</v>
      </c>
      <c r="G19">
        <f t="shared" si="1"/>
        <v>-0.18614820258529446</v>
      </c>
    </row>
    <row r="20" spans="1:9" x14ac:dyDescent="0.45">
      <c r="A20" t="s">
        <v>13</v>
      </c>
      <c r="B20">
        <v>2000</v>
      </c>
      <c r="C20" t="s">
        <v>8</v>
      </c>
      <c r="D20" s="2">
        <v>1</v>
      </c>
      <c r="E20">
        <f t="shared" si="3"/>
        <v>0.01</v>
      </c>
      <c r="F20">
        <f t="shared" si="2"/>
        <v>-4.6051701859880909</v>
      </c>
      <c r="G20">
        <f t="shared" si="1"/>
        <v>-4.605170185988091E-2</v>
      </c>
      <c r="I20" s="2">
        <f>SUM(D18:D20)</f>
        <v>100</v>
      </c>
    </row>
    <row r="21" spans="1:9" x14ac:dyDescent="0.45">
      <c r="D21" s="2"/>
      <c r="H21">
        <f>-(SUM(G18:G20))</f>
        <v>0.30891098466910227</v>
      </c>
    </row>
    <row r="23" spans="1:9" x14ac:dyDescent="0.45">
      <c r="A23" t="s">
        <v>12</v>
      </c>
      <c r="B23">
        <v>1000</v>
      </c>
      <c r="C23" t="s">
        <v>10</v>
      </c>
      <c r="D23" s="2">
        <v>67</v>
      </c>
      <c r="E23">
        <f>D23/100</f>
        <v>0.67</v>
      </c>
      <c r="F23">
        <f>LN(E23)</f>
        <v>-0.40047756659712525</v>
      </c>
      <c r="G23">
        <f>E23*F23</f>
        <v>-0.26831996962007393</v>
      </c>
    </row>
    <row r="24" spans="1:9" x14ac:dyDescent="0.45">
      <c r="A24" t="s">
        <v>12</v>
      </c>
      <c r="B24">
        <v>1000</v>
      </c>
      <c r="C24" t="s">
        <v>8</v>
      </c>
      <c r="D24" s="2">
        <v>29</v>
      </c>
      <c r="E24">
        <f>D24/100</f>
        <v>0.28999999999999998</v>
      </c>
      <c r="F24">
        <f>LN(E24)</f>
        <v>-1.2378743560016174</v>
      </c>
      <c r="G24">
        <f>E24*F24</f>
        <v>-0.35898356324046904</v>
      </c>
    </row>
    <row r="25" spans="1:9" x14ac:dyDescent="0.45">
      <c r="A25" t="s">
        <v>12</v>
      </c>
      <c r="B25">
        <v>1000</v>
      </c>
      <c r="C25" t="s">
        <v>9</v>
      </c>
      <c r="D25" s="2">
        <v>4</v>
      </c>
      <c r="E25">
        <f>D25/100</f>
        <v>0.04</v>
      </c>
      <c r="F25">
        <f>LN(E25)</f>
        <v>-3.2188758248682006</v>
      </c>
      <c r="G25">
        <f>E25*F25</f>
        <v>-0.12875503299472801</v>
      </c>
      <c r="I25" s="2"/>
    </row>
    <row r="26" spans="1:9" x14ac:dyDescent="0.45">
      <c r="D26" s="2"/>
      <c r="H26">
        <f>-(SUM(G23:G25))</f>
        <v>0.75605856585527098</v>
      </c>
    </row>
    <row r="27" spans="1:9" x14ac:dyDescent="0.45">
      <c r="D27" s="2"/>
    </row>
    <row r="28" spans="1:9" x14ac:dyDescent="0.45">
      <c r="A28" t="s">
        <v>15</v>
      </c>
      <c r="B28">
        <v>3000</v>
      </c>
      <c r="C28" t="s">
        <v>16</v>
      </c>
      <c r="D28" s="2">
        <v>100</v>
      </c>
      <c r="E28">
        <f>D28/100</f>
        <v>1</v>
      </c>
      <c r="F28">
        <f>LN(E28)</f>
        <v>0</v>
      </c>
      <c r="G28">
        <f>E28*F28</f>
        <v>0</v>
      </c>
    </row>
    <row r="29" spans="1:9" x14ac:dyDescent="0.45">
      <c r="D29" s="2"/>
      <c r="H29">
        <v>0</v>
      </c>
    </row>
    <row r="30" spans="1:9" x14ac:dyDescent="0.45">
      <c r="A30" t="s">
        <v>15</v>
      </c>
      <c r="B30">
        <v>2000</v>
      </c>
      <c r="C30" t="s">
        <v>10</v>
      </c>
      <c r="D30" s="2">
        <v>62</v>
      </c>
      <c r="E30">
        <f t="shared" ref="E30:E32" si="4">D30/100</f>
        <v>0.62</v>
      </c>
      <c r="F30">
        <f t="shared" ref="F30:F32" si="5">LN(E30)</f>
        <v>-0.4780358009429998</v>
      </c>
      <c r="G30">
        <f t="shared" ref="G30:G32" si="6">E30*F30</f>
        <v>-0.29638219658465986</v>
      </c>
    </row>
    <row r="31" spans="1:9" x14ac:dyDescent="0.45">
      <c r="C31" t="s">
        <v>9</v>
      </c>
      <c r="D31" s="2">
        <v>2</v>
      </c>
      <c r="E31">
        <f t="shared" si="4"/>
        <v>0.02</v>
      </c>
      <c r="F31">
        <f t="shared" si="5"/>
        <v>-3.912023005428146</v>
      </c>
      <c r="G31">
        <f t="shared" si="6"/>
        <v>-7.824046010856292E-2</v>
      </c>
    </row>
    <row r="32" spans="1:9" x14ac:dyDescent="0.45">
      <c r="C32" t="s">
        <v>16</v>
      </c>
      <c r="D32" s="2">
        <v>36</v>
      </c>
      <c r="E32">
        <f t="shared" si="4"/>
        <v>0.36</v>
      </c>
      <c r="F32">
        <f t="shared" si="5"/>
        <v>-1.0216512475319814</v>
      </c>
      <c r="G32">
        <f t="shared" si="6"/>
        <v>-0.36779444911151332</v>
      </c>
    </row>
    <row r="33" spans="1:9" x14ac:dyDescent="0.45">
      <c r="H33">
        <f>-(SUM(G30:G32))</f>
        <v>0.74241710580473619</v>
      </c>
      <c r="I33" s="2">
        <f>SUM(D30:D32)</f>
        <v>100</v>
      </c>
    </row>
    <row r="34" spans="1:9" x14ac:dyDescent="0.45">
      <c r="A34" t="s">
        <v>15</v>
      </c>
      <c r="B34">
        <v>1000</v>
      </c>
      <c r="C34" t="s">
        <v>9</v>
      </c>
      <c r="D34">
        <v>33</v>
      </c>
      <c r="E34">
        <f>D34/100</f>
        <v>0.33</v>
      </c>
      <c r="F34">
        <f>LN(E34)</f>
        <v>-1.1086626245216111</v>
      </c>
      <c r="G34">
        <f>E34*F34</f>
        <v>-0.36585866609213169</v>
      </c>
    </row>
    <row r="35" spans="1:9" x14ac:dyDescent="0.45">
      <c r="A35" t="s">
        <v>15</v>
      </c>
      <c r="B35">
        <v>1000</v>
      </c>
      <c r="C35" t="s">
        <v>8</v>
      </c>
      <c r="D35">
        <v>47</v>
      </c>
      <c r="E35">
        <f>D35/100</f>
        <v>0.47</v>
      </c>
      <c r="F35">
        <f>LN(E35)</f>
        <v>-0.75502258427803282</v>
      </c>
      <c r="G35">
        <f>E35*F35</f>
        <v>-0.35486061461067542</v>
      </c>
    </row>
    <row r="36" spans="1:9" x14ac:dyDescent="0.45">
      <c r="A36" t="s">
        <v>15</v>
      </c>
      <c r="B36">
        <v>1000</v>
      </c>
      <c r="C36" t="s">
        <v>14</v>
      </c>
      <c r="D36">
        <v>19</v>
      </c>
      <c r="E36">
        <f>D36/100</f>
        <v>0.19</v>
      </c>
      <c r="F36">
        <f>LN(E36)</f>
        <v>-1.6607312068216509</v>
      </c>
      <c r="G36">
        <f>E36*F36</f>
        <v>-0.31553892929611366</v>
      </c>
    </row>
    <row r="37" spans="1:9" x14ac:dyDescent="0.45">
      <c r="A37" t="s">
        <v>15</v>
      </c>
      <c r="B37">
        <v>1000</v>
      </c>
      <c r="C37" t="s">
        <v>16</v>
      </c>
      <c r="D37">
        <v>1</v>
      </c>
      <c r="E37">
        <f>D37/100</f>
        <v>0.01</v>
      </c>
      <c r="F37">
        <f>LN(E37)</f>
        <v>-4.6051701859880909</v>
      </c>
      <c r="G37">
        <f>E37*F37</f>
        <v>-4.605170185988091E-2</v>
      </c>
    </row>
    <row r="38" spans="1:9" x14ac:dyDescent="0.45">
      <c r="H38">
        <f>-(SUM(G34:G37))</f>
        <v>1.0823099118588018</v>
      </c>
    </row>
    <row r="39" spans="1:9" x14ac:dyDescent="0.45">
      <c r="I39">
        <f>SUM(D34:D37)</f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Silja Vahtokari</dc:creator>
  <cp:lastModifiedBy>Silja Vahtokari</cp:lastModifiedBy>
  <dcterms:created xsi:type="dcterms:W3CDTF">2025-06-11T09:47:05Z</dcterms:created>
  <dcterms:modified xsi:type="dcterms:W3CDTF">2025-08-11T16:18:34Z</dcterms:modified>
</cp:coreProperties>
</file>