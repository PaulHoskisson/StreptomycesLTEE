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7725798389f290/Desktop/University Stuff/Supplementary_SV/Population Growth Curves/"/>
    </mc:Choice>
  </mc:AlternateContent>
  <xr:revisionPtr revIDLastSave="7" documentId="8_{CA215B64-A36A-4AA8-9E48-18387345F09F}" xr6:coauthVersionLast="47" xr6:coauthVersionMax="47" xr10:uidLastSave="{596B2107-AB3C-46C9-8134-86FEE958086D}"/>
  <bookViews>
    <workbookView xWindow="10718" yWindow="0" windowWidth="10965" windowHeight="12863" activeTab="1" xr2:uid="{F96EE14C-2C29-4A27-9072-50F4C4D1FA22}"/>
  </bookViews>
  <sheets>
    <sheet name="Averages" sheetId="1" r:id="rId1"/>
    <sheet name="Separat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I12" i="2" s="1"/>
  <c r="F13" i="2"/>
  <c r="I13" i="2" s="1"/>
  <c r="F14" i="2"/>
  <c r="I14" i="2" s="1"/>
  <c r="F15" i="2"/>
  <c r="I15" i="2" s="1"/>
  <c r="F16" i="2"/>
  <c r="I16" i="2" s="1"/>
  <c r="F17" i="2"/>
  <c r="F18" i="2"/>
  <c r="F19" i="2"/>
  <c r="F20" i="2"/>
  <c r="F21" i="2"/>
  <c r="F22" i="2"/>
  <c r="F23" i="2"/>
  <c r="F24" i="2"/>
  <c r="F25" i="2"/>
  <c r="I25" i="2" s="1"/>
  <c r="F26" i="2"/>
  <c r="I26" i="2" s="1"/>
  <c r="F27" i="2"/>
  <c r="I27" i="2" s="1"/>
  <c r="F28" i="2"/>
  <c r="I28" i="2" s="1"/>
  <c r="F29" i="2"/>
  <c r="F30" i="2"/>
  <c r="F31" i="2"/>
  <c r="E3" i="2"/>
  <c r="E4" i="2"/>
  <c r="E5" i="2"/>
  <c r="E6" i="2"/>
  <c r="E7" i="2"/>
  <c r="E8" i="2"/>
  <c r="E9" i="2"/>
  <c r="I9" i="2" s="1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I3" i="2"/>
  <c r="I4" i="2"/>
  <c r="I5" i="2"/>
  <c r="I6" i="2"/>
  <c r="I7" i="2"/>
  <c r="I31" i="2"/>
  <c r="I2" i="2"/>
  <c r="F2" i="2"/>
  <c r="E2" i="2"/>
  <c r="G3" i="1"/>
  <c r="G5" i="1"/>
  <c r="G6" i="1"/>
  <c r="F7" i="1"/>
  <c r="F8" i="1"/>
  <c r="F9" i="1"/>
  <c r="F10" i="1"/>
  <c r="F11" i="1"/>
  <c r="G11" i="1" s="1"/>
  <c r="F12" i="1"/>
  <c r="F13" i="1"/>
  <c r="F14" i="1"/>
  <c r="F15" i="1"/>
  <c r="F6" i="1"/>
  <c r="G15" i="1"/>
  <c r="G4" i="1"/>
  <c r="F5" i="1"/>
  <c r="F3" i="1"/>
  <c r="F4" i="1"/>
  <c r="F2" i="1"/>
  <c r="I30" i="2" l="1"/>
  <c r="I29" i="2"/>
  <c r="I17" i="2"/>
  <c r="I11" i="2"/>
  <c r="I10" i="2"/>
  <c r="I8" i="2"/>
  <c r="I20" i="2"/>
  <c r="I24" i="2"/>
  <c r="I23" i="2"/>
  <c r="I22" i="2"/>
  <c r="I21" i="2"/>
  <c r="I19" i="2"/>
  <c r="I18" i="2"/>
  <c r="G12" i="1"/>
  <c r="G9" i="1"/>
  <c r="G10" i="1"/>
  <c r="G14" i="1"/>
  <c r="G13" i="1"/>
  <c r="G8" i="1"/>
  <c r="G7" i="1"/>
</calcChain>
</file>

<file path=xl/sharedStrings.xml><?xml version="1.0" encoding="utf-8"?>
<sst xmlns="http://schemas.openxmlformats.org/spreadsheetml/2006/main" count="57" uniqueCount="53">
  <si>
    <t>Name</t>
  </si>
  <si>
    <t>lnOD2</t>
  </si>
  <si>
    <t>lnOD1</t>
  </si>
  <si>
    <t>t2</t>
  </si>
  <si>
    <t>t1</t>
  </si>
  <si>
    <t>µ</t>
  </si>
  <si>
    <t>M1152</t>
  </si>
  <si>
    <t>Y3 3000</t>
  </si>
  <si>
    <t>Y2 3000</t>
  </si>
  <si>
    <t>Y1 3000</t>
  </si>
  <si>
    <t>Ratio</t>
  </si>
  <si>
    <t>Y3 2000</t>
  </si>
  <si>
    <t>Y2 2000</t>
  </si>
  <si>
    <t>Y1 2000</t>
  </si>
  <si>
    <t>Y3 1000</t>
  </si>
  <si>
    <t>Y2 1000</t>
  </si>
  <si>
    <t>Y1 1000</t>
  </si>
  <si>
    <t>Timepoint</t>
  </si>
  <si>
    <t>Y3 3000 1</t>
  </si>
  <si>
    <t>Y3 3000 2</t>
  </si>
  <si>
    <t>Y3 3000 3</t>
  </si>
  <si>
    <t>Y2 3000 1</t>
  </si>
  <si>
    <t>Y2 3000 2</t>
  </si>
  <si>
    <t>Y2 3000 3</t>
  </si>
  <si>
    <t>Y1 3000 1</t>
  </si>
  <si>
    <t>Y1 3000 2</t>
  </si>
  <si>
    <t>Y1 3000 3</t>
  </si>
  <si>
    <t>Y3 2000 1</t>
  </si>
  <si>
    <t>Y3 2000 2</t>
  </si>
  <si>
    <t>Y3 2000 3</t>
  </si>
  <si>
    <t>Y2 2000 1</t>
  </si>
  <si>
    <t>Y2 2000 2</t>
  </si>
  <si>
    <t>Y2 2000 3</t>
  </si>
  <si>
    <t>Y1 2000 1</t>
  </si>
  <si>
    <t>Y1 2000 2</t>
  </si>
  <si>
    <t>Y1 2000 3</t>
  </si>
  <si>
    <t>Y3 1000 1</t>
  </si>
  <si>
    <t>Y3 1000 2</t>
  </si>
  <si>
    <t>Y3 1000 3</t>
  </si>
  <si>
    <t>Y2 1000 1</t>
  </si>
  <si>
    <t>Y2 1000 2</t>
  </si>
  <si>
    <t>Y2 1000 3</t>
  </si>
  <si>
    <t>Y1 1000 1</t>
  </si>
  <si>
    <t>Y1 1000 2</t>
  </si>
  <si>
    <t>Y1 1000 3</t>
  </si>
  <si>
    <t>M1152 1</t>
  </si>
  <si>
    <t>M1152 2</t>
  </si>
  <si>
    <t>M1152 3</t>
  </si>
  <si>
    <t>Generation</t>
  </si>
  <si>
    <t>LnOD2</t>
  </si>
  <si>
    <t>LnOD1</t>
  </si>
  <si>
    <t>OD2</t>
  </si>
  <si>
    <t>OD1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</si>
</sst>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Averages!$G$2</c:f>
              <c:strCache>
                <c:ptCount val="1"/>
                <c:pt idx="0">
                  <c:v>Ratio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Averages!$H$3:$H$11</c:f>
              <c:numCache>
                <c:formatCode>General</c:formatCode>
                <c:ptCount val="9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</c:numCache>
            </c:numRef>
          </c:xVal>
          <c:yVal>
            <c:numRef>
              <c:f>Averages!$G$3:$G$11</c:f>
              <c:numCache>
                <c:formatCode>General</c:formatCode>
                <c:ptCount val="9"/>
                <c:pt idx="0">
                  <c:v>0.69291858724053923</c:v>
                </c:pt>
                <c:pt idx="1">
                  <c:v>0.96943718622471409</c:v>
                </c:pt>
                <c:pt idx="2">
                  <c:v>1.0249911107196568</c:v>
                </c:pt>
                <c:pt idx="3">
                  <c:v>1.1047173535062915</c:v>
                </c:pt>
                <c:pt idx="4">
                  <c:v>0.87887665420749528</c:v>
                </c:pt>
                <c:pt idx="5">
                  <c:v>0.91036468330134324</c:v>
                </c:pt>
                <c:pt idx="6">
                  <c:v>1.2717689226228124</c:v>
                </c:pt>
                <c:pt idx="7">
                  <c:v>1.8504111321948136</c:v>
                </c:pt>
                <c:pt idx="8">
                  <c:v>0.81011792855922049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DF0C-4DCD-B9C7-9D625751D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5872495"/>
        <c:axId val="1415765935"/>
      </c:scatterChart>
      <c:valAx>
        <c:axId val="141587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765935"/>
        <c:crosses val="autoZero"/>
        <c:crossBetween val="midCat"/>
      </c:valAx>
      <c:valAx>
        <c:axId val="141576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87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Averages!$A$2</c:f>
              <c:strCache>
                <c:ptCount val="1"/>
                <c:pt idx="0">
                  <c:v>M1152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Averages!$H$2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Averages!$F$2</c:f>
              <c:numCache>
                <c:formatCode>General</c:formatCode>
                <c:ptCount val="1"/>
                <c:pt idx="0">
                  <c:v>2.6200769230769229E-2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1D-456E-8317-EE4B82226B67}"/>
            </c:ext>
          </c:extLst>
        </c:ser>
        <c:ser>
          <c:idx val="1"/>
          <c:order val="1"/>
          <c:tx>
            <c:strRef>
              <c:f>Averages!$A$3</c:f>
              <c:strCache>
                <c:ptCount val="1"/>
                <c:pt idx="0">
                  <c:v>Y3 3000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Averages!$H$3</c:f>
              <c:numCache>
                <c:formatCode>General</c:formatCode>
                <c:ptCount val="1"/>
                <c:pt idx="0">
                  <c:v>3000</c:v>
                </c:pt>
              </c:numCache>
            </c:numRef>
          </c:xVal>
          <c:yVal>
            <c:numRef>
              <c:f>Averages!$F$3</c:f>
              <c:numCache>
                <c:formatCode>General</c:formatCode>
                <c:ptCount val="1"/>
                <c:pt idx="0">
                  <c:v>1.8155000000000004E-2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1D-456E-8317-EE4B82226B67}"/>
            </c:ext>
          </c:extLst>
        </c:ser>
        <c:ser>
          <c:idx val="2"/>
          <c:order val="2"/>
          <c:tx>
            <c:strRef>
              <c:f>Averages!$A$4</c:f>
              <c:strCache>
                <c:ptCount val="1"/>
                <c:pt idx="0">
                  <c:v>Y2 3000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Averages!$H$4</c:f>
              <c:numCache>
                <c:formatCode>General</c:formatCode>
                <c:ptCount val="1"/>
                <c:pt idx="0">
                  <c:v>3000</c:v>
                </c:pt>
              </c:numCache>
            </c:numRef>
          </c:xVal>
          <c:yVal>
            <c:numRef>
              <c:f>Averages!$F$4</c:f>
              <c:numCache>
                <c:formatCode>General</c:formatCode>
                <c:ptCount val="1"/>
                <c:pt idx="0">
                  <c:v>2.5399999999999989E-2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1D-456E-8317-EE4B82226B67}"/>
            </c:ext>
          </c:extLst>
        </c:ser>
        <c:ser>
          <c:idx val="3"/>
          <c:order val="3"/>
          <c:tx>
            <c:strRef>
              <c:f>Averages!$A$5</c:f>
              <c:strCache>
                <c:ptCount val="1"/>
                <c:pt idx="0">
                  <c:v>Y1 3000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Averages!$H$5</c:f>
              <c:numCache>
                <c:formatCode>General</c:formatCode>
                <c:ptCount val="1"/>
                <c:pt idx="0">
                  <c:v>3000</c:v>
                </c:pt>
              </c:numCache>
            </c:numRef>
          </c:xVal>
          <c:yVal>
            <c:numRef>
              <c:f>Averages!$F$5</c:f>
              <c:numCache>
                <c:formatCode>General</c:formatCode>
                <c:ptCount val="1"/>
                <c:pt idx="0">
                  <c:v>2.685555555555556E-2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1D-456E-8317-EE4B82226B67}"/>
            </c:ext>
          </c:extLst>
        </c:ser>
        <c:ser>
          <c:idx val="4"/>
          <c:order val="4"/>
          <c:tx>
            <c:strRef>
              <c:f>Averages!$A$6</c:f>
              <c:strCache>
                <c:ptCount val="1"/>
                <c:pt idx="0">
                  <c:v>Y3 2000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Averages!$H$6</c:f>
              <c:numCache>
                <c:formatCode>General</c:formatCode>
                <c:ptCount val="1"/>
                <c:pt idx="0">
                  <c:v>2000</c:v>
                </c:pt>
              </c:numCache>
            </c:numRef>
          </c:xVal>
          <c:yVal>
            <c:numRef>
              <c:f>Averages!$F$6</c:f>
              <c:numCache>
                <c:formatCode>General</c:formatCode>
                <c:ptCount val="1"/>
                <c:pt idx="0">
                  <c:v>2.8944444444444453E-2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B1D-456E-8317-EE4B82226B67}"/>
            </c:ext>
          </c:extLst>
        </c:ser>
        <c:ser>
          <c:idx val="5"/>
          <c:order val="5"/>
          <c:tx>
            <c:strRef>
              <c:f>Averages!$A$7</c:f>
              <c:strCache>
                <c:ptCount val="1"/>
                <c:pt idx="0">
                  <c:v>Y2 2000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Averages!$H$7</c:f>
              <c:numCache>
                <c:formatCode>General</c:formatCode>
                <c:ptCount val="1"/>
                <c:pt idx="0">
                  <c:v>2000</c:v>
                </c:pt>
              </c:numCache>
            </c:numRef>
          </c:xVal>
          <c:yVal>
            <c:numRef>
              <c:f>Averages!$F$7</c:f>
              <c:numCache>
                <c:formatCode>General</c:formatCode>
                <c:ptCount val="1"/>
                <c:pt idx="0">
                  <c:v>2.5438596491228066E-2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B1D-456E-8317-EE4B82226B67}"/>
            </c:ext>
          </c:extLst>
        </c:ser>
        <c:ser>
          <c:idx val="6"/>
          <c:order val="6"/>
          <c:tx>
            <c:strRef>
              <c:f>Averages!$A$8</c:f>
              <c:strCache>
                <c:ptCount val="1"/>
                <c:pt idx="0">
                  <c:v>Y1 2000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Averages!$H$8</c:f>
              <c:numCache>
                <c:formatCode>General</c:formatCode>
                <c:ptCount val="1"/>
                <c:pt idx="0">
                  <c:v>2000</c:v>
                </c:pt>
              </c:numCache>
            </c:numRef>
          </c:xVal>
          <c:yVal>
            <c:numRef>
              <c:f>Averages!$F$8</c:f>
              <c:numCache>
                <c:formatCode>General</c:formatCode>
                <c:ptCount val="1"/>
                <c:pt idx="0">
                  <c:v>2.6349999999999998E-2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B1D-456E-8317-EE4B82226B67}"/>
            </c:ext>
          </c:extLst>
        </c:ser>
        <c:ser>
          <c:idx val="7"/>
          <c:order val="7"/>
          <c:tx>
            <c:strRef>
              <c:f>Averages!$A$9</c:f>
              <c:strCache>
                <c:ptCount val="1"/>
                <c:pt idx="0">
                  <c:v>Y3 1000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Averages!$H$9</c:f>
              <c:numCache>
                <c:formatCode>General</c:formatCode>
                <c:ptCount val="1"/>
                <c:pt idx="0">
                  <c:v>1000</c:v>
                </c:pt>
              </c:numCache>
            </c:numRef>
          </c:xVal>
          <c:yVal>
            <c:numRef>
              <c:f>Averages!$F$9</c:f>
              <c:numCache>
                <c:formatCode>General</c:formatCode>
                <c:ptCount val="1"/>
                <c:pt idx="0">
                  <c:v>3.3511111111111103E-2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B1D-456E-8317-EE4B82226B67}"/>
            </c:ext>
          </c:extLst>
        </c:ser>
        <c:ser>
          <c:idx val="8"/>
          <c:order val="8"/>
          <c:tx>
            <c:strRef>
              <c:f>Averages!$A$10</c:f>
              <c:strCache>
                <c:ptCount val="1"/>
                <c:pt idx="0">
                  <c:v>Y2 1000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Averages!$H$10</c:f>
              <c:numCache>
                <c:formatCode>General</c:formatCode>
                <c:ptCount val="1"/>
                <c:pt idx="0">
                  <c:v>1000</c:v>
                </c:pt>
              </c:numCache>
            </c:numRef>
          </c:xVal>
          <c:yVal>
            <c:numRef>
              <c:f>Averages!$F$10</c:f>
              <c:numCache>
                <c:formatCode>General</c:formatCode>
                <c:ptCount val="1"/>
                <c:pt idx="0">
                  <c:v>4.8758333333333334E-2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B1D-456E-8317-EE4B82226B67}"/>
            </c:ext>
          </c:extLst>
        </c:ser>
        <c:ser>
          <c:idx val="9"/>
          <c:order val="9"/>
          <c:tx>
            <c:strRef>
              <c:f>Averages!$A$11</c:f>
              <c:strCache>
                <c:ptCount val="1"/>
                <c:pt idx="0">
                  <c:v>Y1 1000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Averages!$H$11</c:f>
              <c:numCache>
                <c:formatCode>General</c:formatCode>
                <c:ptCount val="1"/>
                <c:pt idx="0">
                  <c:v>1000</c:v>
                </c:pt>
              </c:numCache>
            </c:numRef>
          </c:xVal>
          <c:yVal>
            <c:numRef>
              <c:f>Averages!$F$11</c:f>
              <c:numCache>
                <c:formatCode>General</c:formatCode>
                <c:ptCount val="1"/>
                <c:pt idx="0">
                  <c:v>3.9499999999999993E-2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B1D-456E-8317-EE4B82226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779583"/>
        <c:axId val="1850781983"/>
      </c:scatterChart>
      <c:valAx>
        <c:axId val="185077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81983"/>
        <c:crosses val="autoZero"/>
        <c:crossBetween val="midCat"/>
      </c:valAx>
      <c:valAx>
        <c:axId val="185078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79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632612</xdr:colOff>
      <xdr:row>1</xdr:row>
      <xdr:rowOff>118260</xdr:rowOff>
    </xdr:from>
    <xdr:to>
      <xdr:col>17</xdr:col>
      <xdr:colOff>12223</xdr:colOff>
      <xdr:row>16</xdr:row>
      <xdr:rowOff>143042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A2FD1C-B0F3-DE7D-F2ED-A82AC3937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632611</xdr:colOff>
      <xdr:row>1</xdr:row>
      <xdr:rowOff>71901</xdr:rowOff>
    </xdr:from>
    <xdr:to>
      <xdr:col>17</xdr:col>
      <xdr:colOff>12222</xdr:colOff>
      <xdr:row>16</xdr:row>
      <xdr:rowOff>96683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259BE7-7200-F005-0CD9-7CB19EDF9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F4BC-B517-45A0-8B1B-6F2EA17E72EF}">
  <dimension ref="A1:I15"/>
  <sheetViews>
    <sheetView zoomScale="81" zoomScaleNormal="55" workbookViewId="0">
      <selection activeCell="E20" sqref="E2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H1" t="s">
        <v>17</v>
      </c>
    </row>
    <row r="2" spans="1:9" x14ac:dyDescent="0.45">
      <c r="A2" t="s">
        <v>6</v>
      </c>
      <c r="B2" s="2">
        <v>0.71021538461538458</v>
      </c>
      <c r="C2">
        <v>0.18620000000000003</v>
      </c>
      <c r="D2">
        <v>23</v>
      </c>
      <c r="E2">
        <v>3</v>
      </c>
      <c r="F2">
        <f>(B2-C2)/(D2-E2)</f>
        <v>2.6200769230769229E-2</v>
      </c>
      <c r="G2" s="1" t="s">
        <v>10</v>
      </c>
      <c r="H2" s="1">
        <v>0</v>
      </c>
    </row>
    <row r="3" spans="1:9" x14ac:dyDescent="0.45">
      <c r="A3" t="s">
        <v>7</v>
      </c>
      <c r="B3" s="2">
        <v>0.51263333333333339</v>
      </c>
      <c r="C3" s="2">
        <v>0.14953333333333332</v>
      </c>
      <c r="D3">
        <v>24</v>
      </c>
      <c r="E3">
        <v>4</v>
      </c>
      <c r="F3">
        <f t="shared" ref="F3:F4" si="0">(B3-C3)/(D3-E3)</f>
        <v>1.8155000000000004E-2</v>
      </c>
      <c r="G3">
        <f>F3/F2</f>
        <v>0.69291858724053923</v>
      </c>
      <c r="H3">
        <v>3000</v>
      </c>
      <c r="I3">
        <v>1000</v>
      </c>
    </row>
    <row r="4" spans="1:9" x14ac:dyDescent="0.45">
      <c r="A4" t="s">
        <v>8</v>
      </c>
      <c r="B4" s="2">
        <v>0.40633333333333327</v>
      </c>
      <c r="C4" s="2">
        <v>0.15233333333333335</v>
      </c>
      <c r="D4">
        <v>14</v>
      </c>
      <c r="E4">
        <v>4</v>
      </c>
      <c r="F4">
        <f t="shared" si="0"/>
        <v>2.5399999999999989E-2</v>
      </c>
      <c r="G4">
        <f>F4/F2</f>
        <v>0.96943718622471409</v>
      </c>
      <c r="H4">
        <v>3000</v>
      </c>
      <c r="I4">
        <v>2000</v>
      </c>
    </row>
    <row r="5" spans="1:9" x14ac:dyDescent="0.45">
      <c r="A5" t="s">
        <v>9</v>
      </c>
      <c r="B5" s="3">
        <v>0.69016666666666671</v>
      </c>
      <c r="C5">
        <v>0.20676666666666665</v>
      </c>
      <c r="D5">
        <v>23</v>
      </c>
      <c r="E5">
        <v>5</v>
      </c>
      <c r="F5">
        <f>(B5-C5)/(D5-E5)</f>
        <v>2.685555555555556E-2</v>
      </c>
      <c r="G5">
        <f>F5/F2</f>
        <v>1.0249911107196568</v>
      </c>
      <c r="H5">
        <v>3000</v>
      </c>
      <c r="I5">
        <v>3000</v>
      </c>
    </row>
    <row r="6" spans="1:9" x14ac:dyDescent="0.45">
      <c r="A6" t="s">
        <v>11</v>
      </c>
      <c r="B6">
        <v>0.4533666666666667</v>
      </c>
      <c r="C6">
        <v>0.19286666666666666</v>
      </c>
      <c r="D6">
        <v>14</v>
      </c>
      <c r="E6">
        <v>5</v>
      </c>
      <c r="F6">
        <f>(B6-C6)/(D6-E6)</f>
        <v>2.8944444444444453E-2</v>
      </c>
      <c r="G6">
        <f>F6/F2</f>
        <v>1.1047173535062915</v>
      </c>
      <c r="H6">
        <v>2000</v>
      </c>
    </row>
    <row r="7" spans="1:9" x14ac:dyDescent="0.45">
      <c r="A7" t="s">
        <v>12</v>
      </c>
      <c r="B7">
        <v>0.68666666666666665</v>
      </c>
      <c r="C7">
        <v>0.20333333333333334</v>
      </c>
      <c r="D7">
        <v>24</v>
      </c>
      <c r="E7">
        <v>5</v>
      </c>
      <c r="F7">
        <f t="shared" ref="F7:F15" si="1">(B7-C7)/(D7-E7)</f>
        <v>2.5438596491228066E-2</v>
      </c>
      <c r="G7">
        <f t="shared" ref="G7" si="2">F7/F6</f>
        <v>0.87887665420749528</v>
      </c>
      <c r="H7">
        <v>2000</v>
      </c>
    </row>
    <row r="8" spans="1:9" x14ac:dyDescent="0.45">
      <c r="A8" t="s">
        <v>13</v>
      </c>
      <c r="B8">
        <v>0.66673333333333329</v>
      </c>
      <c r="C8">
        <v>0.19243333333333335</v>
      </c>
      <c r="D8">
        <v>23</v>
      </c>
      <c r="E8">
        <v>5</v>
      </c>
      <c r="F8">
        <f t="shared" si="1"/>
        <v>2.6349999999999998E-2</v>
      </c>
      <c r="G8">
        <f t="shared" ref="G8" si="3">F8/F6</f>
        <v>0.91036468330134324</v>
      </c>
      <c r="H8">
        <v>2000</v>
      </c>
    </row>
    <row r="9" spans="1:9" x14ac:dyDescent="0.45">
      <c r="A9" t="s">
        <v>14</v>
      </c>
      <c r="B9">
        <v>0.60133333333333328</v>
      </c>
      <c r="C9">
        <v>0.19920000000000002</v>
      </c>
      <c r="D9">
        <v>20</v>
      </c>
      <c r="E9">
        <v>8</v>
      </c>
      <c r="F9">
        <f t="shared" si="1"/>
        <v>3.3511111111111103E-2</v>
      </c>
      <c r="G9">
        <f t="shared" ref="G9" si="4">F9/F8</f>
        <v>1.2717689226228124</v>
      </c>
      <c r="H9">
        <v>1000</v>
      </c>
    </row>
    <row r="10" spans="1:9" x14ac:dyDescent="0.45">
      <c r="A10" t="s">
        <v>15</v>
      </c>
      <c r="B10">
        <v>0.3805</v>
      </c>
      <c r="C10">
        <v>0.18546666666666667</v>
      </c>
      <c r="D10">
        <v>17</v>
      </c>
      <c r="E10">
        <v>13</v>
      </c>
      <c r="F10">
        <f t="shared" si="1"/>
        <v>4.8758333333333334E-2</v>
      </c>
      <c r="G10">
        <f t="shared" ref="G10" si="5">F10/F8</f>
        <v>1.8504111321948136</v>
      </c>
      <c r="H10">
        <v>1000</v>
      </c>
    </row>
    <row r="11" spans="1:9" x14ac:dyDescent="0.45">
      <c r="A11" t="s">
        <v>16</v>
      </c>
      <c r="B11">
        <v>0.51579999999999993</v>
      </c>
      <c r="C11">
        <v>0.1603</v>
      </c>
      <c r="D11">
        <v>15</v>
      </c>
      <c r="E11">
        <v>6</v>
      </c>
      <c r="F11">
        <f t="shared" si="1"/>
        <v>3.9499999999999993E-2</v>
      </c>
      <c r="G11">
        <f t="shared" ref="G11" si="6">F11/F10</f>
        <v>0.81011792855922049</v>
      </c>
      <c r="H11">
        <v>1000</v>
      </c>
    </row>
    <row r="12" spans="1:9" x14ac:dyDescent="0.45">
      <c r="F12" t="e">
        <f t="shared" si="1"/>
        <v>#DIV/0!</v>
      </c>
      <c r="G12" t="e">
        <f t="shared" ref="G12" si="7">F12/F10</f>
        <v>#DIV/0!</v>
      </c>
    </row>
    <row r="13" spans="1:9" x14ac:dyDescent="0.45">
      <c r="F13" t="e">
        <f t="shared" si="1"/>
        <v>#DIV/0!</v>
      </c>
      <c r="G13" t="e">
        <f t="shared" ref="G13" si="8">F13/F12</f>
        <v>#DIV/0!</v>
      </c>
    </row>
    <row r="14" spans="1:9" x14ac:dyDescent="0.45">
      <c r="F14" t="e">
        <f t="shared" si="1"/>
        <v>#DIV/0!</v>
      </c>
      <c r="G14" t="e">
        <f t="shared" ref="G14" si="9">F14/F12</f>
        <v>#DIV/0!</v>
      </c>
    </row>
    <row r="15" spans="1:9" x14ac:dyDescent="0.45">
      <c r="F15" t="e">
        <f t="shared" si="1"/>
        <v>#DIV/0!</v>
      </c>
      <c r="G15" t="e">
        <f t="shared" ref="G15" si="10">F15/F14</f>
        <v>#DIV/0!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FFCAB-177F-47E7-805A-A1E4EEB98C3B}">
  <dimension ref="A1:I31"/>
  <sheetViews>
    <sheetView tabSelected="1" zoomScale="59" zoomScaleNormal="160" workbookViewId="0">
      <selection activeCell="I2" sqref="I2:I31"/>
    </sheetView>
  </sheetViews>
  <sheetFormatPr defaultRowHeight="14.25" x14ac:dyDescent="0.45"/>
  <sheetData>
    <row r="1" spans="1:9" x14ac:dyDescent="0.45">
      <c r="A1" t="s">
        <v>0</v>
      </c>
      <c r="B1" t="s">
        <v>48</v>
      </c>
      <c r="C1" t="s">
        <v>51</v>
      </c>
      <c r="D1" t="s">
        <v>52</v>
      </c>
      <c r="E1" t="s">
        <v>49</v>
      </c>
      <c r="F1" t="s">
        <v>50</v>
      </c>
      <c r="G1" t="s">
        <v>3</v>
      </c>
      <c r="H1" t="s">
        <v>4</v>
      </c>
      <c r="I1" s="1" t="s">
        <v>5</v>
      </c>
    </row>
    <row r="2" spans="1:9" x14ac:dyDescent="0.45">
      <c r="A2" t="s">
        <v>45</v>
      </c>
      <c r="B2">
        <v>0</v>
      </c>
      <c r="C2" s="2">
        <v>0.33139999999999997</v>
      </c>
      <c r="D2" s="2">
        <v>0.13289999999999999</v>
      </c>
      <c r="E2">
        <f>LN(C2)</f>
        <v>-1.1044291739896746</v>
      </c>
      <c r="F2">
        <f>LN(D2)</f>
        <v>-2.0181583132629375</v>
      </c>
      <c r="G2">
        <v>10</v>
      </c>
      <c r="H2">
        <v>3</v>
      </c>
      <c r="I2">
        <f>(E2-F2)/(G2-H2)</f>
        <v>0.13053273418189471</v>
      </c>
    </row>
    <row r="3" spans="1:9" x14ac:dyDescent="0.45">
      <c r="A3" t="s">
        <v>46</v>
      </c>
      <c r="B3">
        <v>0</v>
      </c>
      <c r="C3" s="2">
        <v>0.4123</v>
      </c>
      <c r="D3" s="2">
        <v>0.1618</v>
      </c>
      <c r="E3">
        <f t="shared" ref="E3:E31" si="0">LN(C3)</f>
        <v>-0.88600403926928273</v>
      </c>
      <c r="F3">
        <f t="shared" ref="F3:F31" si="1">LN(D3)</f>
        <v>-1.8213942743577458</v>
      </c>
      <c r="G3">
        <v>12</v>
      </c>
      <c r="H3">
        <v>3</v>
      </c>
      <c r="I3">
        <f t="shared" ref="I3:I31" si="2">(E3-F3)/(G3-H3)</f>
        <v>0.10393224834316256</v>
      </c>
    </row>
    <row r="4" spans="1:9" x14ac:dyDescent="0.45">
      <c r="A4" t="s">
        <v>47</v>
      </c>
      <c r="B4">
        <v>0</v>
      </c>
      <c r="C4" s="2">
        <v>0.40410000000000001</v>
      </c>
      <c r="D4" s="2">
        <v>0.13950000000000001</v>
      </c>
      <c r="E4">
        <f t="shared" si="0"/>
        <v>-0.90609290689770905</v>
      </c>
      <c r="F4">
        <f t="shared" si="1"/>
        <v>-1.9696906777207166</v>
      </c>
      <c r="G4">
        <v>13</v>
      </c>
      <c r="H4">
        <v>5</v>
      </c>
      <c r="I4">
        <f t="shared" si="2"/>
        <v>0.13294972135287594</v>
      </c>
    </row>
    <row r="5" spans="1:9" x14ac:dyDescent="0.45">
      <c r="A5" t="s">
        <v>18</v>
      </c>
      <c r="B5">
        <v>3000</v>
      </c>
      <c r="C5" s="2">
        <v>0.46629999999999999</v>
      </c>
      <c r="D5" s="2">
        <v>0.1552</v>
      </c>
      <c r="E5">
        <f t="shared" si="0"/>
        <v>-0.76292607516786193</v>
      </c>
      <c r="F5">
        <f t="shared" si="1"/>
        <v>-1.8630406712330188</v>
      </c>
      <c r="G5">
        <v>23</v>
      </c>
      <c r="H5">
        <v>4</v>
      </c>
      <c r="I5">
        <f t="shared" si="2"/>
        <v>5.7900768213955622E-2</v>
      </c>
    </row>
    <row r="6" spans="1:9" x14ac:dyDescent="0.45">
      <c r="A6" t="s">
        <v>19</v>
      </c>
      <c r="B6">
        <v>3000</v>
      </c>
      <c r="C6" s="2">
        <v>0.49330000000000002</v>
      </c>
      <c r="D6" s="2">
        <v>0.16070000000000001</v>
      </c>
      <c r="E6">
        <f t="shared" si="0"/>
        <v>-0.70663777074244449</v>
      </c>
      <c r="F6">
        <f t="shared" si="1"/>
        <v>-1.8282160062386701</v>
      </c>
      <c r="G6">
        <v>23</v>
      </c>
      <c r="H6">
        <v>4</v>
      </c>
      <c r="I6">
        <f t="shared" si="2"/>
        <v>5.9030433447169767E-2</v>
      </c>
    </row>
    <row r="7" spans="1:9" x14ac:dyDescent="0.45">
      <c r="A7" t="s">
        <v>20</v>
      </c>
      <c r="B7">
        <v>3000</v>
      </c>
      <c r="C7" s="2">
        <v>0.51659999999999995</v>
      </c>
      <c r="D7" s="2">
        <v>0.1603</v>
      </c>
      <c r="E7">
        <f t="shared" si="0"/>
        <v>-0.66048639832039702</v>
      </c>
      <c r="F7">
        <f t="shared" si="1"/>
        <v>-1.8307082193666298</v>
      </c>
      <c r="G7">
        <v>23</v>
      </c>
      <c r="H7">
        <v>4</v>
      </c>
      <c r="I7">
        <f t="shared" si="2"/>
        <v>6.159062216032804E-2</v>
      </c>
    </row>
    <row r="8" spans="1:9" x14ac:dyDescent="0.45">
      <c r="A8" t="s">
        <v>21</v>
      </c>
      <c r="B8">
        <v>3000</v>
      </c>
      <c r="C8" s="2">
        <v>0.51749999999999996</v>
      </c>
      <c r="D8" s="2">
        <v>0.1759</v>
      </c>
      <c r="E8">
        <f t="shared" si="0"/>
        <v>-0.65874575384261302</v>
      </c>
      <c r="F8">
        <f t="shared" si="1"/>
        <v>-1.7378396272386245</v>
      </c>
      <c r="G8">
        <v>22</v>
      </c>
      <c r="H8">
        <v>5</v>
      </c>
      <c r="I8">
        <f t="shared" si="2"/>
        <v>6.3476110199765373E-2</v>
      </c>
    </row>
    <row r="9" spans="1:9" x14ac:dyDescent="0.45">
      <c r="A9" t="s">
        <v>22</v>
      </c>
      <c r="B9">
        <v>3000</v>
      </c>
      <c r="C9" s="2">
        <v>0.53620000000000001</v>
      </c>
      <c r="D9" s="2">
        <v>0.17469999999999999</v>
      </c>
      <c r="E9">
        <f t="shared" si="0"/>
        <v>-0.62324805318027809</v>
      </c>
      <c r="F9">
        <f t="shared" si="1"/>
        <v>-1.7446850618421261</v>
      </c>
      <c r="G9">
        <v>22</v>
      </c>
      <c r="H9">
        <v>5</v>
      </c>
      <c r="I9">
        <f t="shared" si="2"/>
        <v>6.5966882862461648E-2</v>
      </c>
    </row>
    <row r="10" spans="1:9" x14ac:dyDescent="0.45">
      <c r="A10" t="s">
        <v>23</v>
      </c>
      <c r="B10">
        <v>3000</v>
      </c>
      <c r="C10" s="2">
        <v>0.55400000000000005</v>
      </c>
      <c r="D10" s="2">
        <v>0.17080000000000001</v>
      </c>
      <c r="E10">
        <f t="shared" si="0"/>
        <v>-0.59059059223485311</v>
      </c>
      <c r="F10">
        <f t="shared" si="1"/>
        <v>-1.7672619976276676</v>
      </c>
      <c r="G10">
        <v>22</v>
      </c>
      <c r="H10">
        <v>5</v>
      </c>
      <c r="I10">
        <f t="shared" si="2"/>
        <v>6.9215965023106729E-2</v>
      </c>
    </row>
    <row r="11" spans="1:9" x14ac:dyDescent="0.45">
      <c r="A11" t="s">
        <v>24</v>
      </c>
      <c r="B11">
        <v>3000</v>
      </c>
      <c r="C11" s="2">
        <v>0.61909999999999998</v>
      </c>
      <c r="D11" s="2">
        <v>0.16719999999999999</v>
      </c>
      <c r="E11">
        <f t="shared" si="0"/>
        <v>-0.47948846845695065</v>
      </c>
      <c r="F11">
        <f t="shared" si="1"/>
        <v>-1.7885645783315358</v>
      </c>
      <c r="G11">
        <v>22</v>
      </c>
      <c r="H11">
        <v>3</v>
      </c>
      <c r="I11">
        <f t="shared" si="2"/>
        <v>6.8898742624978165E-2</v>
      </c>
    </row>
    <row r="12" spans="1:9" x14ac:dyDescent="0.45">
      <c r="A12" t="s">
        <v>25</v>
      </c>
      <c r="B12">
        <v>3000</v>
      </c>
      <c r="C12" s="2">
        <v>0.66879999999999995</v>
      </c>
      <c r="D12" s="2">
        <v>0.1729</v>
      </c>
      <c r="E12">
        <f t="shared" si="0"/>
        <v>-0.40227021721164524</v>
      </c>
      <c r="F12">
        <f t="shared" si="1"/>
        <v>-1.7550418862928923</v>
      </c>
      <c r="G12">
        <v>22</v>
      </c>
      <c r="H12">
        <v>3</v>
      </c>
      <c r="I12">
        <f t="shared" si="2"/>
        <v>7.1198508899012997E-2</v>
      </c>
    </row>
    <row r="13" spans="1:9" x14ac:dyDescent="0.45">
      <c r="A13" t="s">
        <v>26</v>
      </c>
      <c r="B13">
        <v>3000</v>
      </c>
      <c r="C13" s="2">
        <v>0.67459999999999998</v>
      </c>
      <c r="D13" s="2">
        <v>0.16700000000000001</v>
      </c>
      <c r="E13">
        <f t="shared" si="0"/>
        <v>-0.39363535635458724</v>
      </c>
      <c r="F13">
        <f t="shared" si="1"/>
        <v>-1.7897614665653818</v>
      </c>
      <c r="G13">
        <v>22</v>
      </c>
      <c r="H13">
        <v>3</v>
      </c>
      <c r="I13">
        <f t="shared" si="2"/>
        <v>7.3480321590041808E-2</v>
      </c>
    </row>
    <row r="14" spans="1:9" x14ac:dyDescent="0.45">
      <c r="A14" t="s">
        <v>27</v>
      </c>
      <c r="B14">
        <v>2000</v>
      </c>
      <c r="C14" s="2">
        <v>0.44490000000000002</v>
      </c>
      <c r="D14" s="2">
        <v>0.17599999999999999</v>
      </c>
      <c r="E14">
        <f t="shared" si="0"/>
        <v>-0.80990574117014091</v>
      </c>
      <c r="F14">
        <f t="shared" si="1"/>
        <v>-1.7372712839439852</v>
      </c>
      <c r="G14">
        <v>15</v>
      </c>
      <c r="H14">
        <v>4</v>
      </c>
      <c r="I14">
        <f t="shared" si="2"/>
        <v>8.4305958433985848E-2</v>
      </c>
    </row>
    <row r="15" spans="1:9" x14ac:dyDescent="0.45">
      <c r="A15" t="s">
        <v>28</v>
      </c>
      <c r="B15">
        <v>2000</v>
      </c>
      <c r="C15" s="2">
        <v>0.45960000000000001</v>
      </c>
      <c r="D15" s="2">
        <v>0.1734</v>
      </c>
      <c r="E15">
        <f t="shared" si="0"/>
        <v>-0.77739873300753637</v>
      </c>
      <c r="F15">
        <f t="shared" si="1"/>
        <v>-1.7521542146356957</v>
      </c>
      <c r="G15">
        <v>15</v>
      </c>
      <c r="H15">
        <v>4</v>
      </c>
      <c r="I15">
        <f t="shared" si="2"/>
        <v>8.8614134693469029E-2</v>
      </c>
    </row>
    <row r="16" spans="1:9" x14ac:dyDescent="0.45">
      <c r="A16" t="s">
        <v>29</v>
      </c>
      <c r="B16">
        <v>2000</v>
      </c>
      <c r="C16" s="2">
        <v>0.4627</v>
      </c>
      <c r="D16" s="2">
        <v>0.16500000000000001</v>
      </c>
      <c r="E16">
        <f t="shared" si="0"/>
        <v>-0.77067638306918318</v>
      </c>
      <c r="F16">
        <f t="shared" si="1"/>
        <v>-1.8018098050815563</v>
      </c>
      <c r="G16">
        <v>15</v>
      </c>
      <c r="H16">
        <v>4</v>
      </c>
      <c r="I16">
        <f t="shared" si="2"/>
        <v>9.3739402001124836E-2</v>
      </c>
    </row>
    <row r="17" spans="1:9" x14ac:dyDescent="0.45">
      <c r="A17" t="s">
        <v>30</v>
      </c>
      <c r="B17">
        <v>2000</v>
      </c>
      <c r="C17" s="2">
        <v>0.64019999999999999</v>
      </c>
      <c r="D17" s="2">
        <v>0.17130000000000001</v>
      </c>
      <c r="E17">
        <f t="shared" si="0"/>
        <v>-0.44597465144637438</v>
      </c>
      <c r="F17">
        <f t="shared" si="1"/>
        <v>-1.7643388736520629</v>
      </c>
      <c r="G17">
        <v>22</v>
      </c>
      <c r="H17">
        <v>4</v>
      </c>
      <c r="I17">
        <f t="shared" si="2"/>
        <v>7.3242456789204907E-2</v>
      </c>
    </row>
    <row r="18" spans="1:9" x14ac:dyDescent="0.45">
      <c r="A18" t="s">
        <v>31</v>
      </c>
      <c r="B18">
        <v>2000</v>
      </c>
      <c r="C18" s="2">
        <v>0.5958</v>
      </c>
      <c r="D18" s="2">
        <v>0.18579999999999999</v>
      </c>
      <c r="E18">
        <f t="shared" si="0"/>
        <v>-0.5178502387029551</v>
      </c>
      <c r="F18">
        <f t="shared" si="1"/>
        <v>-1.6830844526023989</v>
      </c>
      <c r="G18">
        <v>22</v>
      </c>
      <c r="H18">
        <v>4</v>
      </c>
      <c r="I18">
        <f t="shared" si="2"/>
        <v>6.4735234105524661E-2</v>
      </c>
    </row>
    <row r="19" spans="1:9" x14ac:dyDescent="0.45">
      <c r="A19" t="s">
        <v>32</v>
      </c>
      <c r="B19">
        <v>2000</v>
      </c>
      <c r="C19" s="2">
        <v>0.63</v>
      </c>
      <c r="D19" s="2">
        <v>0.17369999999999999</v>
      </c>
      <c r="E19">
        <f t="shared" si="0"/>
        <v>-0.46203545959655867</v>
      </c>
      <c r="F19">
        <f t="shared" si="1"/>
        <v>-1.7504256057350778</v>
      </c>
      <c r="G19">
        <v>22</v>
      </c>
      <c r="H19">
        <v>4</v>
      </c>
      <c r="I19">
        <f t="shared" si="2"/>
        <v>7.157723034102885E-2</v>
      </c>
    </row>
    <row r="20" spans="1:9" x14ac:dyDescent="0.45">
      <c r="A20" t="s">
        <v>33</v>
      </c>
      <c r="B20">
        <v>2000</v>
      </c>
      <c r="C20" s="2">
        <v>0.55989999999999995</v>
      </c>
      <c r="D20" s="2">
        <v>0.1983</v>
      </c>
      <c r="E20">
        <f t="shared" si="0"/>
        <v>-0.57999708262728955</v>
      </c>
      <c r="F20">
        <f t="shared" si="1"/>
        <v>-1.6179742434563866</v>
      </c>
      <c r="G20">
        <v>20</v>
      </c>
      <c r="H20">
        <v>5</v>
      </c>
      <c r="I20">
        <f t="shared" si="2"/>
        <v>6.9198477388606475E-2</v>
      </c>
    </row>
    <row r="21" spans="1:9" x14ac:dyDescent="0.45">
      <c r="A21" t="s">
        <v>34</v>
      </c>
      <c r="B21">
        <v>2000</v>
      </c>
      <c r="C21" s="2">
        <v>0.59399999999999997</v>
      </c>
      <c r="D21" s="2">
        <v>0.1875</v>
      </c>
      <c r="E21">
        <f t="shared" si="0"/>
        <v>-0.52087595961949218</v>
      </c>
      <c r="F21">
        <f t="shared" si="1"/>
        <v>-1.6739764335716716</v>
      </c>
      <c r="G21">
        <v>20</v>
      </c>
      <c r="H21">
        <v>5</v>
      </c>
      <c r="I21">
        <f t="shared" si="2"/>
        <v>7.6873364930145308E-2</v>
      </c>
    </row>
    <row r="22" spans="1:9" x14ac:dyDescent="0.45">
      <c r="A22" t="s">
        <v>35</v>
      </c>
      <c r="B22">
        <v>2000</v>
      </c>
      <c r="C22" s="2">
        <v>0.60970000000000002</v>
      </c>
      <c r="D22" s="2">
        <v>0.1915</v>
      </c>
      <c r="E22">
        <f t="shared" si="0"/>
        <v>-0.49478824606836658</v>
      </c>
      <c r="F22">
        <f t="shared" si="1"/>
        <v>-1.6528674703614363</v>
      </c>
      <c r="G22">
        <v>20</v>
      </c>
      <c r="H22">
        <v>5</v>
      </c>
      <c r="I22">
        <f t="shared" si="2"/>
        <v>7.7205281619537977E-2</v>
      </c>
    </row>
    <row r="23" spans="1:9" x14ac:dyDescent="0.45">
      <c r="A23" t="s">
        <v>36</v>
      </c>
      <c r="B23">
        <v>1000</v>
      </c>
      <c r="C23" s="2">
        <v>0.5827</v>
      </c>
      <c r="D23" s="2">
        <v>0.16839999999999999</v>
      </c>
      <c r="E23">
        <f t="shared" si="0"/>
        <v>-0.54008280483310855</v>
      </c>
      <c r="F23">
        <f t="shared" si="1"/>
        <v>-1.7814131771739108</v>
      </c>
      <c r="G23">
        <v>20</v>
      </c>
      <c r="H23">
        <v>6</v>
      </c>
      <c r="I23">
        <f t="shared" si="2"/>
        <v>8.8666455167200162E-2</v>
      </c>
    </row>
    <row r="24" spans="1:9" x14ac:dyDescent="0.45">
      <c r="A24" t="s">
        <v>37</v>
      </c>
      <c r="B24">
        <v>1000</v>
      </c>
      <c r="C24" s="2">
        <v>0.60829999999999995</v>
      </c>
      <c r="D24" s="2">
        <v>0.1653</v>
      </c>
      <c r="E24">
        <f t="shared" si="0"/>
        <v>-0.49708709765547748</v>
      </c>
      <c r="F24">
        <f t="shared" si="1"/>
        <v>-1.7999932741551585</v>
      </c>
      <c r="G24">
        <v>20</v>
      </c>
      <c r="H24">
        <v>7</v>
      </c>
      <c r="I24">
        <f t="shared" si="2"/>
        <v>0.100223552038437</v>
      </c>
    </row>
    <row r="25" spans="1:9" x14ac:dyDescent="0.45">
      <c r="A25" t="s">
        <v>38</v>
      </c>
      <c r="B25">
        <v>1000</v>
      </c>
      <c r="C25" s="2">
        <v>0.61299999999999999</v>
      </c>
      <c r="D25" s="2">
        <v>0.14929999999999999</v>
      </c>
      <c r="E25">
        <f t="shared" si="0"/>
        <v>-0.48939034304592566</v>
      </c>
      <c r="F25">
        <f t="shared" si="1"/>
        <v>-1.9017975744369924</v>
      </c>
      <c r="G25">
        <v>20</v>
      </c>
      <c r="H25">
        <v>7</v>
      </c>
      <c r="I25">
        <f t="shared" si="2"/>
        <v>0.10864671010700513</v>
      </c>
    </row>
    <row r="26" spans="1:9" x14ac:dyDescent="0.45">
      <c r="A26" t="s">
        <v>39</v>
      </c>
      <c r="B26">
        <v>1000</v>
      </c>
      <c r="C26" s="2">
        <v>0.4173</v>
      </c>
      <c r="D26" s="2">
        <v>0.20930000000000001</v>
      </c>
      <c r="E26">
        <f t="shared" si="0"/>
        <v>-0.87394989138463008</v>
      </c>
      <c r="F26">
        <f t="shared" si="1"/>
        <v>-1.5639866495301828</v>
      </c>
      <c r="G26">
        <v>16</v>
      </c>
      <c r="H26">
        <v>13</v>
      </c>
      <c r="I26">
        <f t="shared" si="2"/>
        <v>0.23001225271518425</v>
      </c>
    </row>
    <row r="27" spans="1:9" x14ac:dyDescent="0.45">
      <c r="A27" t="s">
        <v>40</v>
      </c>
      <c r="B27">
        <v>1000</v>
      </c>
      <c r="C27" s="2">
        <v>0.48020000000000002</v>
      </c>
      <c r="D27" s="2">
        <v>0.1777</v>
      </c>
      <c r="E27">
        <f t="shared" si="0"/>
        <v>-0.73355259519498417</v>
      </c>
      <c r="F27">
        <f t="shared" si="1"/>
        <v>-1.7276585438215315</v>
      </c>
      <c r="G27">
        <v>20</v>
      </c>
      <c r="H27">
        <v>13</v>
      </c>
      <c r="I27">
        <f t="shared" si="2"/>
        <v>0.14201513551807818</v>
      </c>
    </row>
    <row r="28" spans="1:9" x14ac:dyDescent="0.45">
      <c r="A28" t="s">
        <v>41</v>
      </c>
      <c r="B28">
        <v>1000</v>
      </c>
      <c r="C28" s="2">
        <v>0.46489999999999998</v>
      </c>
      <c r="D28" s="2">
        <v>0.1694</v>
      </c>
      <c r="E28">
        <f t="shared" si="0"/>
        <v>-0.76593295028559805</v>
      </c>
      <c r="F28">
        <f t="shared" si="1"/>
        <v>-1.775492496764183</v>
      </c>
      <c r="G28">
        <v>20</v>
      </c>
      <c r="H28">
        <v>13</v>
      </c>
      <c r="I28">
        <f t="shared" si="2"/>
        <v>0.14422279235408356</v>
      </c>
    </row>
    <row r="29" spans="1:9" x14ac:dyDescent="0.45">
      <c r="A29" t="s">
        <v>42</v>
      </c>
      <c r="B29">
        <v>1000</v>
      </c>
      <c r="C29" s="2">
        <v>0.48320000000000002</v>
      </c>
      <c r="D29" s="2">
        <v>0.2228</v>
      </c>
      <c r="E29">
        <f t="shared" si="0"/>
        <v>-0.72732463236153178</v>
      </c>
      <c r="F29">
        <f t="shared" si="1"/>
        <v>-1.5014807709290081</v>
      </c>
      <c r="G29">
        <v>15</v>
      </c>
      <c r="H29">
        <v>8</v>
      </c>
      <c r="I29">
        <f t="shared" si="2"/>
        <v>0.11059373408106805</v>
      </c>
    </row>
    <row r="30" spans="1:9" x14ac:dyDescent="0.45">
      <c r="A30" t="s">
        <v>43</v>
      </c>
      <c r="B30">
        <v>1000</v>
      </c>
      <c r="C30" s="2">
        <v>0.53159999999999996</v>
      </c>
      <c r="D30" s="2">
        <v>0.24279999999999999</v>
      </c>
      <c r="E30">
        <f t="shared" si="0"/>
        <v>-0.63186395214304691</v>
      </c>
      <c r="F30">
        <f t="shared" si="1"/>
        <v>-1.415517219796794</v>
      </c>
      <c r="G30">
        <v>15</v>
      </c>
      <c r="H30">
        <v>8</v>
      </c>
      <c r="I30">
        <f t="shared" si="2"/>
        <v>0.11195046680767816</v>
      </c>
    </row>
    <row r="31" spans="1:9" x14ac:dyDescent="0.45">
      <c r="A31" t="s">
        <v>44</v>
      </c>
      <c r="B31">
        <v>1000</v>
      </c>
      <c r="C31" s="2">
        <v>0.53259999999999996</v>
      </c>
      <c r="D31" s="2">
        <v>0.1842</v>
      </c>
      <c r="E31">
        <f t="shared" si="0"/>
        <v>-0.62998460560230529</v>
      </c>
      <c r="F31">
        <f t="shared" si="1"/>
        <v>-1.6917331551609305</v>
      </c>
      <c r="G31">
        <v>15</v>
      </c>
      <c r="H31">
        <v>8</v>
      </c>
      <c r="I31">
        <f t="shared" si="2"/>
        <v>0.15167836422266073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Separate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Silja Vahtokari</dc:creator>
  <cp:lastModifiedBy>Silja Vahtokari</cp:lastModifiedBy>
  <dcterms:created xsi:type="dcterms:W3CDTF">2025-07-29T17:25:26Z</dcterms:created>
  <dcterms:modified xsi:type="dcterms:W3CDTF">2025-08-11T17:13:51Z</dcterms:modified>
</cp:coreProperties>
</file>