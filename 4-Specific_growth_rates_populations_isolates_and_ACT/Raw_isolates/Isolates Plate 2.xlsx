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af7725798389f290/Desktop/University Stuff/Data/Growth curves/Isolates/"/>
    </mc:Choice>
  </mc:AlternateContent>
  <xr:revisionPtr revIDLastSave="4" documentId="8_{02DA05CB-5AE7-4489-9E06-DA3268299EC6}" xr6:coauthVersionLast="47" xr6:coauthVersionMax="47" xr10:uidLastSave="{FD4AE5B4-D1B5-4CAE-8F03-330D0998915F}"/>
  <bookViews>
    <workbookView xWindow="-98" yWindow="-98" windowWidth="21795" windowHeight="12975" activeTab="1" xr2:uid="{00000000-000D-0000-FFFF-FFFF00000000}"/>
  </bookViews>
  <sheets>
    <sheet name="Result sheet" sheetId="1" r:id="rId1"/>
    <sheet name="Compiled" sheetId="2" r:id="rId2"/>
  </sheets>
  <calcPr calcId="181029"/>
</workbook>
</file>

<file path=xl/calcChain.xml><?xml version="1.0" encoding="utf-8"?>
<calcChain xmlns="http://schemas.openxmlformats.org/spreadsheetml/2006/main">
  <c r="O29" i="2" l="1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28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" i="2"/>
</calcChain>
</file>

<file path=xl/sharedStrings.xml><?xml version="1.0" encoding="utf-8"?>
<sst xmlns="http://schemas.openxmlformats.org/spreadsheetml/2006/main" count="160" uniqueCount="120">
  <si>
    <t>Method name: LTEE_Rich_Growth_Curve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</si>
  <si>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</si>
  <si>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</si>
  <si>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</si>
  <si>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</si>
  <si>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</si>
  <si>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</si>
  <si>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</si>
  <si>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</si>
  <si>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2025-07-18</t>
  </si>
  <si>
    <t>Time:</t>
  </si>
  <si>
    <t>12:04</t>
  </si>
  <si>
    <t>System</t>
  </si>
  <si>
    <t>LAPTOP-2SEDK391</t>
  </si>
  <si>
    <t>User</t>
  </si>
  <si>
    <t>LAPTOP-2SEDK391\johnt</t>
  </si>
  <si>
    <t>Plate</t>
  </si>
  <si>
    <t>[TPP24ft] - Techno Plastic Products AG 24 Flat Transparent Cat. No.: 92024</t>
  </si>
  <si>
    <t>Lid lifter</t>
  </si>
  <si>
    <t>Lid</t>
  </si>
  <si>
    <t>Humidity Cassette</t>
  </si>
  <si>
    <t>No humidity cassette</t>
  </si>
  <si>
    <t>Smooth mode</t>
  </si>
  <si>
    <t>Selected</t>
  </si>
  <si>
    <t>List of actions in this measurement script:</t>
  </si>
  <si>
    <t>Temperature</t>
  </si>
  <si>
    <t>Kinetic</t>
  </si>
  <si>
    <t>Absorbance</t>
  </si>
  <si>
    <t>Label 1</t>
  </si>
  <si>
    <t>Shaking</t>
  </si>
  <si>
    <t>Name</t>
  </si>
  <si>
    <t>TPP24ft</t>
  </si>
  <si>
    <t>Plate layout</t>
  </si>
  <si>
    <t>Plate area</t>
  </si>
  <si>
    <t>A1-D6</t>
  </si>
  <si>
    <t>Start Time</t>
  </si>
  <si>
    <t>2025-07-17 11:46:34</t>
  </si>
  <si>
    <t>Temperature control</t>
  </si>
  <si>
    <t>On</t>
  </si>
  <si>
    <t>Target temperature [°C]</t>
  </si>
  <si>
    <t>Wait minimum [°C]</t>
  </si>
  <si>
    <t>Wait maximum [°C]</t>
  </si>
  <si>
    <t>End Time</t>
  </si>
  <si>
    <t>2025-07-17 11:59:37</t>
  </si>
  <si>
    <t>Mode</t>
  </si>
  <si>
    <t>Kinetic cycles</t>
  </si>
  <si>
    <t>Interval time</t>
  </si>
  <si>
    <t>Not defined</t>
  </si>
  <si>
    <t>Measurement wavelength [nm]</t>
  </si>
  <si>
    <t>Number of flashes</t>
  </si>
  <si>
    <t>Settle time [ms]</t>
  </si>
  <si>
    <t>Part of Plate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</si>
  <si>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</si>
  <si>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</si>
  <si>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</si>
  <si>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</si>
  <si>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</si>
  <si>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</si>
  <si>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</si>
  <si>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</si>
  <si>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</si>
  <si>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</si>
  <si>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</si>
  <si>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</si>
  <si>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</si>
  <si>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</si>
  <si>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</si>
  <si>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</si>
  <si>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</si>
  <si>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</si>
  <si>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</si>
  <si>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</si>
  <si>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</si>
  <si>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</si>
  <si>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</si>
  <si>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</si>
  <si>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</si>
  <si>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</si>
  <si>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</si>
  <si>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</si>
  <si>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</si>
  <si>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</si>
  <si>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</si>
  <si>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</si>
  <si>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</si>
  <si>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</si>
  <si>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</si>
  <si>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</si>
  <si>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</si>
  <si>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</si>
  <si>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</si>
  <si>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</si>
  <si>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</si>
  <si>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</si>
  <si>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</si>
  <si>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</si>
  <si>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</si>
  <si>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</si>
  <si>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</si>
  <si>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</si>
  <si>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</si>
  <si>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</si>
  <si>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</si>
  <si>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</si>
  <si>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</si>
  <si>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</si>
  <si>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</si>
  <si>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</si>
  <si>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2025-07-18 12:04:37</t>
  </si>
  <si>
    <t xml:space="preserve">Time </t>
  </si>
  <si>
    <t>Y2 126 12</t>
  </si>
  <si>
    <t>Y3 126 8</t>
  </si>
  <si>
    <t>ST dev</t>
  </si>
  <si>
    <t>St dev</t>
  </si>
  <si>
    <t>Y1 188 5</t>
  </si>
  <si>
    <t>Y3 188 21</t>
  </si>
  <si>
    <t>Y3 188 10</t>
  </si>
  <si>
    <t>Y1 126 6</t>
  </si>
  <si>
    <t>Y2 188 23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</si>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</sst>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Compiled!$E$1</c:f>
              <c:strCache>
                <c:ptCount val="1"/>
                <c:pt idx="0">
                  <c:v>Y2 126 12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Compiled!$A$1:$A$25</c:f>
              <c:strCache>
                <c:ptCount val="25"/>
                <c:pt idx="0">
                  <c:v>Time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xVal>
          <c:yVal>
            <c:numRef>
              <c:f>Compiled!$E$2:$E$25</c:f>
              <c:numCache>
                <c:formatCode>General</c:formatCode>
                <c:ptCount val="24"/>
                <c:pt idx="0">
                  <c:v>0.15126666666666666</c:v>
                </c:pt>
                <c:pt idx="1">
                  <c:v>0.16159999999999999</c:v>
                </c:pt>
                <c:pt idx="2">
                  <c:v>0.17613333333333334</c:v>
                </c:pt>
                <c:pt idx="3">
                  <c:v>0.19643333333333332</c:v>
                </c:pt>
                <c:pt idx="4">
                  <c:v>0.20686666666666667</c:v>
                </c:pt>
                <c:pt idx="5">
                  <c:v>0.22119999999999998</c:v>
                </c:pt>
                <c:pt idx="6">
                  <c:v>0.2336</c:v>
                </c:pt>
                <c:pt idx="7">
                  <c:v>0.27460000000000001</c:v>
                </c:pt>
                <c:pt idx="8">
                  <c:v>0.28899999999999998</c:v>
                </c:pt>
                <c:pt idx="9">
                  <c:v>0.30919999999999997</c:v>
                </c:pt>
                <c:pt idx="10">
                  <c:v>0.3211</c:v>
                </c:pt>
                <c:pt idx="11">
                  <c:v>0.34790000000000004</c:v>
                </c:pt>
                <c:pt idx="12">
                  <c:v>0.37156666666666666</c:v>
                </c:pt>
                <c:pt idx="13">
                  <c:v>0.38050000000000006</c:v>
                </c:pt>
                <c:pt idx="14">
                  <c:v>0.38626666666666659</c:v>
                </c:pt>
                <c:pt idx="15">
                  <c:v>0.3844333333333334</c:v>
                </c:pt>
                <c:pt idx="16">
                  <c:v>0.38000000000000006</c:v>
                </c:pt>
                <c:pt idx="17">
                  <c:v>0.36293333333333333</c:v>
                </c:pt>
                <c:pt idx="18">
                  <c:v>0.36363333333333331</c:v>
                </c:pt>
                <c:pt idx="19">
                  <c:v>0.35966666666666663</c:v>
                </c:pt>
                <c:pt idx="20">
                  <c:v>0.36203333333333337</c:v>
                </c:pt>
                <c:pt idx="21">
                  <c:v>0.34716666666666668</c:v>
                </c:pt>
                <c:pt idx="22">
                  <c:v>0.36056666666666665</c:v>
                </c:pt>
                <c:pt idx="23">
                  <c:v>0.35543333333333332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6-4F96-8E06-2EE3CBD6B25A}"/>
            </c:ext>
          </c:extLst>
        </c:ser>
        <c:ser>
          <c:idx val="1"/>
          <c:order val="1"/>
          <c:tx>
            <c:strRef>
              <c:f>Compiled!$J$1</c:f>
              <c:strCache>
                <c:ptCount val="1"/>
                <c:pt idx="0">
                  <c:v>Y3 126 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Compiled!$A$1:$A$25</c:f>
              <c:strCache>
                <c:ptCount val="25"/>
                <c:pt idx="0">
                  <c:v>Time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xVal>
          <c:yVal>
            <c:numRef>
              <c:f>Compiled!$J$2:$J$25</c:f>
              <c:numCache>
                <c:formatCode>General</c:formatCode>
                <c:ptCount val="24"/>
                <c:pt idx="0">
                  <c:v>0.15106666666666668</c:v>
                </c:pt>
                <c:pt idx="1">
                  <c:v>0.13473333333333334</c:v>
                </c:pt>
                <c:pt idx="2">
                  <c:v>0.13780000000000001</c:v>
                </c:pt>
                <c:pt idx="3">
                  <c:v>0.14759999999999998</c:v>
                </c:pt>
                <c:pt idx="4">
                  <c:v>0.15043333333333334</c:v>
                </c:pt>
                <c:pt idx="5">
                  <c:v>0.16009999999999999</c:v>
                </c:pt>
                <c:pt idx="6">
                  <c:v>0.17626666666666665</c:v>
                </c:pt>
                <c:pt idx="7">
                  <c:v>0.18243333333333334</c:v>
                </c:pt>
                <c:pt idx="8">
                  <c:v>0.19603333333333331</c:v>
                </c:pt>
                <c:pt idx="9">
                  <c:v>0.21383333333333332</c:v>
                </c:pt>
                <c:pt idx="10">
                  <c:v>0.22743333333333335</c:v>
                </c:pt>
                <c:pt idx="11">
                  <c:v>0.2419</c:v>
                </c:pt>
                <c:pt idx="12">
                  <c:v>0.25140000000000001</c:v>
                </c:pt>
                <c:pt idx="13">
                  <c:v>0.27033333333333331</c:v>
                </c:pt>
                <c:pt idx="14">
                  <c:v>0.27586666666666665</c:v>
                </c:pt>
                <c:pt idx="15">
                  <c:v>0.29373333333333335</c:v>
                </c:pt>
                <c:pt idx="16">
                  <c:v>0.29403333333333337</c:v>
                </c:pt>
                <c:pt idx="17">
                  <c:v>0.27473333333333333</c:v>
                </c:pt>
                <c:pt idx="18">
                  <c:v>0.31430000000000002</c:v>
                </c:pt>
                <c:pt idx="19">
                  <c:v>0.33316666666666667</c:v>
                </c:pt>
                <c:pt idx="20">
                  <c:v>0.34373333333333339</c:v>
                </c:pt>
                <c:pt idx="21">
                  <c:v>0.33463333333333334</c:v>
                </c:pt>
                <c:pt idx="22">
                  <c:v>0.33800000000000002</c:v>
                </c:pt>
                <c:pt idx="23">
                  <c:v>0.31593333333333334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66-4F96-8E06-2EE3CBD6B25A}"/>
            </c:ext>
          </c:extLst>
        </c:ser>
        <c:ser>
          <c:idx val="2"/>
          <c:order val="2"/>
          <c:tx>
            <c:strRef>
              <c:f>Compiled!$O$1</c:f>
              <c:strCache>
                <c:ptCount val="1"/>
                <c:pt idx="0">
                  <c:v>Y1 188 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Compiled!$A$1:$A$25</c:f>
              <c:strCache>
                <c:ptCount val="25"/>
                <c:pt idx="0">
                  <c:v>Time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xVal>
          <c:yVal>
            <c:numRef>
              <c:f>Compiled!$O$2:$O$25</c:f>
              <c:numCache>
                <c:formatCode>General</c:formatCode>
                <c:ptCount val="24"/>
                <c:pt idx="0">
                  <c:v>0.13576666666666667</c:v>
                </c:pt>
                <c:pt idx="1">
                  <c:v>0.16366666666666665</c:v>
                </c:pt>
                <c:pt idx="2">
                  <c:v>0.16463333333333333</c:v>
                </c:pt>
                <c:pt idx="3">
                  <c:v>0.16380000000000003</c:v>
                </c:pt>
                <c:pt idx="4">
                  <c:v>0.18106666666666668</c:v>
                </c:pt>
                <c:pt idx="5">
                  <c:v>0.18013333333333334</c:v>
                </c:pt>
                <c:pt idx="6">
                  <c:v>0.17499999999999996</c:v>
                </c:pt>
                <c:pt idx="7">
                  <c:v>0.15483333333333335</c:v>
                </c:pt>
                <c:pt idx="8">
                  <c:v>0.13853333333333334</c:v>
                </c:pt>
                <c:pt idx="9">
                  <c:v>0.16059999999999999</c:v>
                </c:pt>
                <c:pt idx="10">
                  <c:v>0.11486666666666667</c:v>
                </c:pt>
                <c:pt idx="11">
                  <c:v>0.12013333333333333</c:v>
                </c:pt>
                <c:pt idx="12">
                  <c:v>0.12136666666666666</c:v>
                </c:pt>
                <c:pt idx="13">
                  <c:v>0.12309999999999999</c:v>
                </c:pt>
                <c:pt idx="14">
                  <c:v>0.10883333333333334</c:v>
                </c:pt>
                <c:pt idx="15">
                  <c:v>0.13183333333333333</c:v>
                </c:pt>
                <c:pt idx="16">
                  <c:v>0.11950000000000001</c:v>
                </c:pt>
                <c:pt idx="17">
                  <c:v>0.10489999999999999</c:v>
                </c:pt>
                <c:pt idx="18">
                  <c:v>0.10223333333333333</c:v>
                </c:pt>
                <c:pt idx="19">
                  <c:v>0.11556666666666666</c:v>
                </c:pt>
                <c:pt idx="20">
                  <c:v>0.16783333333333336</c:v>
                </c:pt>
                <c:pt idx="21">
                  <c:v>0.24913333333333332</c:v>
                </c:pt>
                <c:pt idx="22">
                  <c:v>0.12319999999999999</c:v>
                </c:pt>
                <c:pt idx="23">
                  <c:v>0.14003333333333334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66-4F96-8E06-2EE3CBD6B25A}"/>
            </c:ext>
          </c:extLst>
        </c:ser>
        <c:ser>
          <c:idx val="3"/>
          <c:order val="3"/>
          <c:tx>
            <c:strRef>
              <c:f>Compiled!$T$1</c:f>
              <c:strCache>
                <c:ptCount val="1"/>
                <c:pt idx="0">
                  <c:v>Y3 188 21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Compiled!$A$1:$A$25</c:f>
              <c:strCache>
                <c:ptCount val="25"/>
                <c:pt idx="0">
                  <c:v>Time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xVal>
          <c:yVal>
            <c:numRef>
              <c:f>Compiled!$T$2:$T$25</c:f>
              <c:numCache>
                <c:formatCode>General</c:formatCode>
                <c:ptCount val="24"/>
                <c:pt idx="0">
                  <c:v>0.11313333333333335</c:v>
                </c:pt>
                <c:pt idx="1">
                  <c:v>0.11890000000000001</c:v>
                </c:pt>
                <c:pt idx="2">
                  <c:v>0.13203333333333334</c:v>
                </c:pt>
                <c:pt idx="3">
                  <c:v>0.13613333333333336</c:v>
                </c:pt>
                <c:pt idx="4">
                  <c:v>0.15316666666666667</c:v>
                </c:pt>
                <c:pt idx="5">
                  <c:v>0.1565</c:v>
                </c:pt>
                <c:pt idx="6">
                  <c:v>0.16966666666666663</c:v>
                </c:pt>
                <c:pt idx="7">
                  <c:v>0.16196666666666668</c:v>
                </c:pt>
                <c:pt idx="8">
                  <c:v>0.17929999999999999</c:v>
                </c:pt>
                <c:pt idx="9">
                  <c:v>0.20106666666666664</c:v>
                </c:pt>
                <c:pt idx="10">
                  <c:v>0.18700000000000003</c:v>
                </c:pt>
                <c:pt idx="11">
                  <c:v>0.21729999999999997</c:v>
                </c:pt>
                <c:pt idx="12">
                  <c:v>0.22940000000000002</c:v>
                </c:pt>
                <c:pt idx="13">
                  <c:v>0.24386666666666668</c:v>
                </c:pt>
                <c:pt idx="14">
                  <c:v>0.25556666666666666</c:v>
                </c:pt>
                <c:pt idx="15">
                  <c:v>0.29223333333333329</c:v>
                </c:pt>
                <c:pt idx="16">
                  <c:v>0.27579999999999999</c:v>
                </c:pt>
                <c:pt idx="17">
                  <c:v>0.29860000000000003</c:v>
                </c:pt>
                <c:pt idx="18">
                  <c:v>0.29826666666666668</c:v>
                </c:pt>
                <c:pt idx="19">
                  <c:v>0.30473333333333336</c:v>
                </c:pt>
                <c:pt idx="20">
                  <c:v>0.33079999999999998</c:v>
                </c:pt>
                <c:pt idx="21">
                  <c:v>0.30480000000000002</c:v>
                </c:pt>
                <c:pt idx="22">
                  <c:v>0.36116666666666664</c:v>
                </c:pt>
                <c:pt idx="23">
                  <c:v>0.35390000000000005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66-4F96-8E06-2EE3CBD6B25A}"/>
            </c:ext>
          </c:extLst>
        </c:ser>
        <c:ser>
          <c:idx val="4"/>
          <c:order val="4"/>
          <c:tx>
            <c:strRef>
              <c:f>Compiled!$Y$1</c:f>
              <c:strCache>
                <c:ptCount val="1"/>
                <c:pt idx="0">
                  <c:v>Y3 188 10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Compiled!$A$1:$A$25</c:f>
              <c:strCache>
                <c:ptCount val="25"/>
                <c:pt idx="0">
                  <c:v>Time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xVal>
          <c:yVal>
            <c:numRef>
              <c:f>Compiled!$Y$2:$Y$25</c:f>
              <c:numCache>
                <c:formatCode>General</c:formatCode>
                <c:ptCount val="24"/>
                <c:pt idx="0">
                  <c:v>0.11566666666666665</c:v>
                </c:pt>
                <c:pt idx="1">
                  <c:v>0.126</c:v>
                </c:pt>
                <c:pt idx="2">
                  <c:v>0.13496666666666668</c:v>
                </c:pt>
                <c:pt idx="3">
                  <c:v>0.14829999999999999</c:v>
                </c:pt>
                <c:pt idx="4">
                  <c:v>0.15376666666666669</c:v>
                </c:pt>
                <c:pt idx="5">
                  <c:v>0.1769333333333333</c:v>
                </c:pt>
                <c:pt idx="6">
                  <c:v>0.16716666666666669</c:v>
                </c:pt>
                <c:pt idx="7">
                  <c:v>0.18976666666666667</c:v>
                </c:pt>
                <c:pt idx="8">
                  <c:v>0.20116666666666669</c:v>
                </c:pt>
                <c:pt idx="9">
                  <c:v>0.19766666666666666</c:v>
                </c:pt>
                <c:pt idx="10">
                  <c:v>0.20073333333333335</c:v>
                </c:pt>
                <c:pt idx="11">
                  <c:v>0.20896666666666666</c:v>
                </c:pt>
                <c:pt idx="12">
                  <c:v>0.21773333333333333</c:v>
                </c:pt>
                <c:pt idx="13">
                  <c:v>0.22589999999999999</c:v>
                </c:pt>
                <c:pt idx="14">
                  <c:v>0.23910000000000001</c:v>
                </c:pt>
                <c:pt idx="15">
                  <c:v>0.24030000000000004</c:v>
                </c:pt>
                <c:pt idx="16">
                  <c:v>0.26646666666666668</c:v>
                </c:pt>
                <c:pt idx="17">
                  <c:v>0.2646</c:v>
                </c:pt>
                <c:pt idx="18">
                  <c:v>0.2616</c:v>
                </c:pt>
                <c:pt idx="19">
                  <c:v>0.27466666666666667</c:v>
                </c:pt>
                <c:pt idx="20">
                  <c:v>0.2722</c:v>
                </c:pt>
                <c:pt idx="21">
                  <c:v>0.28843333333333332</c:v>
                </c:pt>
                <c:pt idx="22">
                  <c:v>0.2702</c:v>
                </c:pt>
                <c:pt idx="23">
                  <c:v>0.32823333333333338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66-4F96-8E06-2EE3CBD6B25A}"/>
            </c:ext>
          </c:extLst>
        </c:ser>
        <c:ser>
          <c:idx val="5"/>
          <c:order val="5"/>
          <c:tx>
            <c:strRef>
              <c:f>Compiled!$E$27</c:f>
              <c:strCache>
                <c:ptCount val="1"/>
                <c:pt idx="0">
                  <c:v>Y1 126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Compiled!$A$1:$A$25</c:f>
              <c:strCache>
                <c:ptCount val="25"/>
                <c:pt idx="0">
                  <c:v>Time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xVal>
          <c:yVal>
            <c:numRef>
              <c:f>Compiled!$E$28:$E$51</c:f>
              <c:numCache>
                <c:formatCode>General</c:formatCode>
                <c:ptCount val="24"/>
                <c:pt idx="0">
                  <c:v>0.12823333333333334</c:v>
                </c:pt>
                <c:pt idx="1">
                  <c:v>0.17763333333333331</c:v>
                </c:pt>
                <c:pt idx="2">
                  <c:v>0.18223333333333333</c:v>
                </c:pt>
                <c:pt idx="3">
                  <c:v>0.1855</c:v>
                </c:pt>
                <c:pt idx="4">
                  <c:v>0.19063333333333335</c:v>
                </c:pt>
                <c:pt idx="5">
                  <c:v>0.20870000000000002</c:v>
                </c:pt>
                <c:pt idx="6">
                  <c:v>0.23066666666666666</c:v>
                </c:pt>
                <c:pt idx="7">
                  <c:v>0.2568333333333333</c:v>
                </c:pt>
                <c:pt idx="8">
                  <c:v>0.23346666666666663</c:v>
                </c:pt>
                <c:pt idx="9">
                  <c:v>0.25546666666666668</c:v>
                </c:pt>
                <c:pt idx="10">
                  <c:v>0.22326666666666664</c:v>
                </c:pt>
                <c:pt idx="11">
                  <c:v>0.28256666666666663</c:v>
                </c:pt>
                <c:pt idx="12">
                  <c:v>0.30619999999999997</c:v>
                </c:pt>
                <c:pt idx="13">
                  <c:v>0.25003333333333333</c:v>
                </c:pt>
                <c:pt idx="14">
                  <c:v>0.2651</c:v>
                </c:pt>
                <c:pt idx="15">
                  <c:v>0.29793333333333333</c:v>
                </c:pt>
                <c:pt idx="16">
                  <c:v>0.27733333333333338</c:v>
                </c:pt>
                <c:pt idx="17">
                  <c:v>0.25406666666666666</c:v>
                </c:pt>
                <c:pt idx="18">
                  <c:v>0.21543333333333334</c:v>
                </c:pt>
                <c:pt idx="19">
                  <c:v>0.26336666666666669</c:v>
                </c:pt>
                <c:pt idx="20">
                  <c:v>0.312</c:v>
                </c:pt>
                <c:pt idx="21">
                  <c:v>0.31220000000000003</c:v>
                </c:pt>
                <c:pt idx="22">
                  <c:v>0.32496666666666663</c:v>
                </c:pt>
                <c:pt idx="23">
                  <c:v>0.31119999999999998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F66-4F96-8E06-2EE3CBD6B25A}"/>
            </c:ext>
          </c:extLst>
        </c:ser>
        <c:ser>
          <c:idx val="6"/>
          <c:order val="6"/>
          <c:tx>
            <c:strRef>
              <c:f>Compiled!$J$27</c:f>
              <c:strCache>
                <c:ptCount val="1"/>
                <c:pt idx="0">
                  <c:v>Y2 188 23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Compiled!$A$1:$A$25</c:f>
              <c:strCache>
                <c:ptCount val="25"/>
                <c:pt idx="0">
                  <c:v>Time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xVal>
          <c:yVal>
            <c:numRef>
              <c:f>Compiled!$J$28:$J$51</c:f>
              <c:numCache>
                <c:formatCode>General</c:formatCode>
                <c:ptCount val="24"/>
                <c:pt idx="0">
                  <c:v>0.12790000000000001</c:v>
                </c:pt>
                <c:pt idx="1">
                  <c:v>0.111</c:v>
                </c:pt>
                <c:pt idx="2">
                  <c:v>0.13083333333333333</c:v>
                </c:pt>
                <c:pt idx="3">
                  <c:v>0.11763333333333333</c:v>
                </c:pt>
                <c:pt idx="4">
                  <c:v>0.1154</c:v>
                </c:pt>
                <c:pt idx="5">
                  <c:v>0.122</c:v>
                </c:pt>
                <c:pt idx="6">
                  <c:v>0.1226</c:v>
                </c:pt>
                <c:pt idx="7">
                  <c:v>0.12226666666666665</c:v>
                </c:pt>
                <c:pt idx="8">
                  <c:v>0.14186666666666667</c:v>
                </c:pt>
                <c:pt idx="9">
                  <c:v>0.14343333333333333</c:v>
                </c:pt>
                <c:pt idx="10">
                  <c:v>0.13983333333333334</c:v>
                </c:pt>
                <c:pt idx="11">
                  <c:v>0.15156666666666666</c:v>
                </c:pt>
                <c:pt idx="12">
                  <c:v>0.13639999999999999</c:v>
                </c:pt>
                <c:pt idx="13">
                  <c:v>0.16379999999999997</c:v>
                </c:pt>
                <c:pt idx="14">
                  <c:v>0.1724</c:v>
                </c:pt>
                <c:pt idx="15">
                  <c:v>0.16259999999999999</c:v>
                </c:pt>
                <c:pt idx="16">
                  <c:v>0.16923333333333332</c:v>
                </c:pt>
                <c:pt idx="17">
                  <c:v>0.21896666666666667</c:v>
                </c:pt>
                <c:pt idx="18">
                  <c:v>0.14863333333333331</c:v>
                </c:pt>
                <c:pt idx="19">
                  <c:v>0.17579999999999998</c:v>
                </c:pt>
                <c:pt idx="20">
                  <c:v>0.16069999999999998</c:v>
                </c:pt>
                <c:pt idx="21">
                  <c:v>0.12243333333333332</c:v>
                </c:pt>
                <c:pt idx="22">
                  <c:v>0.44083333333333335</c:v>
                </c:pt>
                <c:pt idx="23">
                  <c:v>0.33216666666666667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F66-4F96-8E06-2EE3CBD6B25A}"/>
            </c:ext>
          </c:extLst>
        </c:ser>
        <c:ser>
          <c:idx val="7"/>
          <c:order val="7"/>
          <c:tx>
            <c:strRef>
              <c:f>Compiled!$O$27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Compiled!$A$1:$A$25</c:f>
              <c:strCache>
                <c:ptCount val="25"/>
                <c:pt idx="0">
                  <c:v>Time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xVal>
          <c:yVal>
            <c:numRef>
              <c:f>Compiled!$O$28:$O$51</c:f>
              <c:numCache>
                <c:formatCode>General</c:formatCode>
                <c:ptCount val="24"/>
                <c:pt idx="0">
                  <c:v>0.10289999999999999</c:v>
                </c:pt>
                <c:pt idx="1">
                  <c:v>9.9066666666666678E-2</c:v>
                </c:pt>
                <c:pt idx="2">
                  <c:v>9.7366666666666657E-2</c:v>
                </c:pt>
                <c:pt idx="3">
                  <c:v>9.7600000000000006E-2</c:v>
                </c:pt>
                <c:pt idx="4">
                  <c:v>0.11463333333333332</c:v>
                </c:pt>
                <c:pt idx="5">
                  <c:v>0.1109</c:v>
                </c:pt>
                <c:pt idx="6">
                  <c:v>9.973333333333334E-2</c:v>
                </c:pt>
                <c:pt idx="7">
                  <c:v>0.10083333333333333</c:v>
                </c:pt>
                <c:pt idx="8">
                  <c:v>0.10123333333333333</c:v>
                </c:pt>
                <c:pt idx="9">
                  <c:v>0.10053333333333332</c:v>
                </c:pt>
                <c:pt idx="10">
                  <c:v>0.10046666666666666</c:v>
                </c:pt>
                <c:pt idx="11">
                  <c:v>0.10003333333333335</c:v>
                </c:pt>
                <c:pt idx="12">
                  <c:v>0.10026666666666667</c:v>
                </c:pt>
                <c:pt idx="13">
                  <c:v>0.10013333333333334</c:v>
                </c:pt>
                <c:pt idx="14">
                  <c:v>9.9900000000000003E-2</c:v>
                </c:pt>
                <c:pt idx="15">
                  <c:v>0.10003333333333332</c:v>
                </c:pt>
                <c:pt idx="16">
                  <c:v>9.9933333333333318E-2</c:v>
                </c:pt>
                <c:pt idx="17">
                  <c:v>9.9933333333333332E-2</c:v>
                </c:pt>
                <c:pt idx="18">
                  <c:v>9.9866666666666659E-2</c:v>
                </c:pt>
                <c:pt idx="19">
                  <c:v>0.10006666666666668</c:v>
                </c:pt>
                <c:pt idx="20">
                  <c:v>9.976666666666667E-2</c:v>
                </c:pt>
                <c:pt idx="21">
                  <c:v>9.9666666666666681E-2</c:v>
                </c:pt>
                <c:pt idx="22">
                  <c:v>9.976666666666667E-2</c:v>
                </c:pt>
                <c:pt idx="23">
                  <c:v>9.9900000000000003E-2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F66-4F96-8E06-2EE3CBD6B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246272"/>
        <c:axId val="1055232352"/>
      </c:scatterChart>
      <c:valAx>
        <c:axId val="1055246272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232352"/>
        <c:crosses val="autoZero"/>
        <c:crossBetween val="midCat"/>
      </c:valAx>
      <c:valAx>
        <c:axId val="105523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246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11092597417677"/>
          <c:y val="0.18257741849364548"/>
          <c:w val="0.18120485462614869"/>
          <c:h val="0.634844792735456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538905</xdr:colOff>
      <xdr:row>3</xdr:row>
      <xdr:rowOff>93232</xdr:rowOff>
    </xdr:from>
    <xdr:to>
      <xdr:col>32</xdr:col>
      <xdr:colOff>560072</xdr:colOff>
      <xdr:row>18</xdr:row>
      <xdr:rowOff>115005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452A89-654E-36E6-6618-3617B6A97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"/>
  <sheetViews>
    <sheetView topLeftCell="G47" zoomScale="70" workbookViewId="0">
      <selection activeCell="AA52" sqref="AA52:AA76"/>
    </sheetView>
  </sheetViews>
  <sheetFormatPr defaultRowHeight="14.25" x14ac:dyDescent="0.45"/>
  <sheetData>
    <row r="1" spans="1:11" x14ac:dyDescent="0.4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4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4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4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4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4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4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4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4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4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4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4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4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4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4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45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45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45">
      <c r="A20" s="2"/>
      <c r="B20" s="2"/>
      <c r="C20" s="2" t="s">
        <v>29</v>
      </c>
      <c r="D20" s="2"/>
      <c r="E20" s="2"/>
      <c r="F20" s="2"/>
      <c r="G20" s="2"/>
      <c r="H20" s="2"/>
      <c r="I20" s="2"/>
      <c r="J20" s="2"/>
      <c r="K20" s="2"/>
    </row>
    <row r="21" spans="1:1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45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spans="1:11" x14ac:dyDescent="0.45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45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45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45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 spans="1:11" x14ac:dyDescent="0.45">
      <c r="A28" s="1" t="s">
        <v>39</v>
      </c>
      <c r="B28" s="1"/>
      <c r="C28" s="1"/>
      <c r="D28" s="1"/>
      <c r="E28" s="1">
        <v>30</v>
      </c>
      <c r="F28" s="1"/>
      <c r="G28" s="1"/>
      <c r="H28" s="1"/>
      <c r="I28" s="1"/>
      <c r="J28" s="1"/>
      <c r="K28" s="1"/>
    </row>
    <row r="29" spans="1:11" x14ac:dyDescent="0.45">
      <c r="A29" s="1" t="s">
        <v>40</v>
      </c>
      <c r="B29" s="1"/>
      <c r="C29" s="1"/>
      <c r="D29" s="1"/>
      <c r="E29" s="1">
        <v>29.5</v>
      </c>
      <c r="F29" s="1"/>
      <c r="G29" s="1"/>
      <c r="H29" s="1"/>
      <c r="I29" s="1"/>
      <c r="J29" s="1"/>
      <c r="K29" s="1"/>
    </row>
    <row r="30" spans="1:11" x14ac:dyDescent="0.45">
      <c r="A30" s="1" t="s">
        <v>41</v>
      </c>
      <c r="B30" s="1"/>
      <c r="C30" s="1"/>
      <c r="D30" s="1"/>
      <c r="E30" s="1">
        <v>30.5</v>
      </c>
      <c r="F30" s="1"/>
      <c r="G30" s="1"/>
      <c r="H30" s="1"/>
      <c r="I30" s="1"/>
      <c r="J30" s="1"/>
      <c r="K30" s="1"/>
    </row>
    <row r="31" spans="1:11" x14ac:dyDescent="0.45">
      <c r="A31" s="1" t="s">
        <v>42</v>
      </c>
      <c r="B31" s="1"/>
      <c r="C31" s="1"/>
      <c r="D31" s="1"/>
      <c r="E31" s="1" t="s">
        <v>43</v>
      </c>
      <c r="F31" s="1"/>
      <c r="G31" s="1"/>
      <c r="H31" s="1"/>
      <c r="I31" s="1"/>
      <c r="J31" s="1"/>
      <c r="K31" s="1"/>
    </row>
    <row r="32" spans="1:1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45">
      <c r="A33" s="1" t="s">
        <v>44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45">
      <c r="A34" s="1" t="s">
        <v>45</v>
      </c>
      <c r="B34" s="1"/>
      <c r="C34" s="1"/>
      <c r="D34" s="1"/>
      <c r="E34" s="1">
        <v>24</v>
      </c>
      <c r="F34" s="1"/>
      <c r="G34" s="1"/>
      <c r="H34" s="1"/>
      <c r="I34" s="1"/>
      <c r="J34" s="1"/>
      <c r="K34" s="1"/>
    </row>
    <row r="35" spans="1:11" x14ac:dyDescent="0.45">
      <c r="A35" s="1" t="s">
        <v>46</v>
      </c>
      <c r="B35" s="1"/>
      <c r="C35" s="1"/>
      <c r="D35" s="1"/>
      <c r="E35" s="1" t="s">
        <v>47</v>
      </c>
      <c r="F35" s="1"/>
      <c r="G35" s="1"/>
      <c r="H35" s="1"/>
      <c r="I35" s="1"/>
      <c r="J35" s="1"/>
      <c r="K35" s="1"/>
    </row>
    <row r="36" spans="1:1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45">
      <c r="A37" s="1" t="s">
        <v>44</v>
      </c>
      <c r="B37" s="1" t="s">
        <v>27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45">
      <c r="A38" s="1" t="s">
        <v>30</v>
      </c>
      <c r="B38" s="1" t="s">
        <v>28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45">
      <c r="A39" s="1" t="s">
        <v>48</v>
      </c>
      <c r="B39" s="1"/>
      <c r="C39" s="1"/>
      <c r="D39" s="1"/>
      <c r="E39" s="1">
        <v>600</v>
      </c>
      <c r="F39" s="1"/>
      <c r="G39" s="1"/>
      <c r="H39" s="1"/>
      <c r="I39" s="1"/>
      <c r="J39" s="1"/>
      <c r="K39" s="1"/>
    </row>
    <row r="40" spans="1:11" x14ac:dyDescent="0.45">
      <c r="A40" s="1" t="s">
        <v>49</v>
      </c>
      <c r="B40" s="1"/>
      <c r="C40" s="1"/>
      <c r="D40" s="1"/>
      <c r="E40" s="1">
        <v>10</v>
      </c>
      <c r="F40" s="1"/>
      <c r="G40" s="1"/>
      <c r="H40" s="1"/>
      <c r="I40" s="1"/>
      <c r="J40" s="1"/>
      <c r="K40" s="1"/>
    </row>
    <row r="41" spans="1:11" x14ac:dyDescent="0.45">
      <c r="A41" s="1" t="s">
        <v>50</v>
      </c>
      <c r="B41" s="1"/>
      <c r="C41" s="1"/>
      <c r="D41" s="1"/>
      <c r="E41" s="1">
        <v>50</v>
      </c>
      <c r="F41" s="1"/>
      <c r="G41" s="1"/>
      <c r="H41" s="1"/>
      <c r="I41" s="1"/>
      <c r="J41" s="1"/>
      <c r="K41" s="1"/>
    </row>
    <row r="42" spans="1:11" x14ac:dyDescent="0.45">
      <c r="A42" s="1" t="s">
        <v>51</v>
      </c>
      <c r="B42" s="1"/>
      <c r="C42" s="1"/>
      <c r="D42" s="1"/>
      <c r="E42" s="1" t="s">
        <v>34</v>
      </c>
      <c r="F42" s="1"/>
      <c r="G42" s="1"/>
      <c r="H42" s="1"/>
      <c r="I42" s="1"/>
      <c r="J42" s="1"/>
      <c r="K42" s="1"/>
    </row>
    <row r="43" spans="1:1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45">
      <c r="A44" s="1" t="s">
        <v>52</v>
      </c>
      <c r="B44" s="1"/>
      <c r="C44" s="1"/>
      <c r="D44" s="1"/>
      <c r="E44" s="1">
        <v>3600</v>
      </c>
      <c r="F44" s="1"/>
      <c r="G44" s="1"/>
      <c r="H44" s="1"/>
      <c r="I44" s="1"/>
      <c r="J44" s="1"/>
      <c r="K44" s="1"/>
    </row>
    <row r="45" spans="1:11" x14ac:dyDescent="0.45">
      <c r="A45" s="1" t="s">
        <v>53</v>
      </c>
      <c r="B45" s="1"/>
      <c r="C45" s="1"/>
      <c r="D45" s="1"/>
      <c r="E45" s="1" t="s">
        <v>54</v>
      </c>
      <c r="F45" s="1"/>
      <c r="G45" s="1"/>
      <c r="H45" s="1"/>
      <c r="I45" s="1"/>
      <c r="J45" s="1"/>
      <c r="K45" s="1"/>
    </row>
    <row r="46" spans="1:11" x14ac:dyDescent="0.45">
      <c r="A46" s="1" t="s">
        <v>55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 x14ac:dyDescent="0.45">
      <c r="A47" s="1" t="s">
        <v>56</v>
      </c>
      <c r="B47" s="1"/>
      <c r="C47" s="1"/>
      <c r="D47" s="1"/>
      <c r="E47" s="1">
        <v>1440</v>
      </c>
      <c r="F47" s="1"/>
      <c r="G47" s="1"/>
      <c r="H47" s="1"/>
      <c r="I47" s="1"/>
      <c r="J47" s="1"/>
      <c r="K47" s="1"/>
    </row>
    <row r="48" spans="1:1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7" x14ac:dyDescent="0.45">
      <c r="A49" s="1" t="s">
        <v>35</v>
      </c>
      <c r="B49" s="1"/>
      <c r="C49" s="1"/>
      <c r="D49" s="1"/>
      <c r="E49" s="1" t="s">
        <v>43</v>
      </c>
      <c r="F49" s="1"/>
      <c r="G49" s="1"/>
      <c r="H49" s="1"/>
      <c r="I49" s="1"/>
      <c r="J49" s="1"/>
      <c r="K49" s="1"/>
    </row>
    <row r="50" spans="1:27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27" x14ac:dyDescent="0.45">
      <c r="A51" s="1" t="s">
        <v>28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27" x14ac:dyDescent="0.45">
      <c r="A52" s="3" t="s">
        <v>57</v>
      </c>
      <c r="B52" s="3" t="s">
        <v>58</v>
      </c>
      <c r="C52" s="3" t="s">
        <v>59</v>
      </c>
      <c r="D52" s="4" t="s">
        <v>60</v>
      </c>
      <c r="E52" s="4" t="s">
        <v>61</v>
      </c>
      <c r="F52" s="4" t="s">
        <v>62</v>
      </c>
      <c r="G52" s="4" t="s">
        <v>63</v>
      </c>
      <c r="H52" s="4" t="s">
        <v>64</v>
      </c>
      <c r="I52" s="4" t="s">
        <v>65</v>
      </c>
      <c r="J52" s="4" t="s">
        <v>66</v>
      </c>
      <c r="K52" s="4" t="s">
        <v>67</v>
      </c>
      <c r="L52" s="4" t="s">
        <v>68</v>
      </c>
      <c r="M52" s="4" t="s">
        <v>69</v>
      </c>
      <c r="N52" s="4" t="s">
        <v>70</v>
      </c>
      <c r="O52" s="4" t="s">
        <v>71</v>
      </c>
      <c r="P52" s="4" t="s">
        <v>72</v>
      </c>
      <c r="Q52" s="4" t="s">
        <v>73</v>
      </c>
      <c r="R52" s="4" t="s">
        <v>74</v>
      </c>
      <c r="S52" s="4" t="s">
        <v>75</v>
      </c>
      <c r="T52" s="4" t="s">
        <v>76</v>
      </c>
      <c r="U52" s="4" t="s">
        <v>77</v>
      </c>
      <c r="V52" s="4" t="s">
        <v>78</v>
      </c>
      <c r="W52" s="4" t="s">
        <v>79</v>
      </c>
      <c r="X52" s="4" t="s">
        <v>80</v>
      </c>
      <c r="Y52" s="4" t="s">
        <v>81</v>
      </c>
      <c r="Z52" s="4" t="s">
        <v>82</v>
      </c>
      <c r="AA52" s="3" t="s">
        <v>83</v>
      </c>
    </row>
    <row r="53" spans="1:27" x14ac:dyDescent="0.45">
      <c r="A53" s="3" t="s">
        <v>84</v>
      </c>
      <c r="B53" s="1">
        <v>0</v>
      </c>
      <c r="C53" s="1">
        <v>29.8</v>
      </c>
      <c r="D53" s="5">
        <v>0.1366</v>
      </c>
      <c r="E53" s="5">
        <v>0.1411</v>
      </c>
      <c r="F53" s="5">
        <v>0.1343</v>
      </c>
      <c r="G53" s="5">
        <v>0.1111</v>
      </c>
      <c r="H53" s="5">
        <v>0.1128</v>
      </c>
      <c r="I53" s="5">
        <v>0.127</v>
      </c>
      <c r="J53" s="5">
        <v>0.1149</v>
      </c>
      <c r="K53" s="5">
        <v>0.15629999999999999</v>
      </c>
      <c r="L53" s="5">
        <v>0.15210000000000001</v>
      </c>
      <c r="M53" s="5">
        <v>0.1222</v>
      </c>
      <c r="N53" s="5">
        <v>0.1182</v>
      </c>
      <c r="O53" s="5">
        <v>0.1197</v>
      </c>
      <c r="P53" s="5">
        <v>0.16470000000000001</v>
      </c>
      <c r="Q53" s="5">
        <v>0.1145</v>
      </c>
      <c r="R53" s="5">
        <v>0.16089999999999999</v>
      </c>
      <c r="S53" s="5">
        <v>0.16</v>
      </c>
      <c r="T53" s="5">
        <v>0.15079999999999999</v>
      </c>
      <c r="U53" s="5">
        <v>0.1101</v>
      </c>
      <c r="V53" s="5">
        <v>0.1016</v>
      </c>
      <c r="W53" s="5">
        <v>0.1138</v>
      </c>
      <c r="X53" s="5">
        <v>0.14280000000000001</v>
      </c>
      <c r="Y53" s="5">
        <v>0.1052</v>
      </c>
      <c r="Z53" s="5">
        <v>0.1079</v>
      </c>
      <c r="AA53" s="1">
        <v>9.9199999999999997E-2</v>
      </c>
    </row>
    <row r="54" spans="1:27" x14ac:dyDescent="0.45">
      <c r="A54" s="3" t="s">
        <v>85</v>
      </c>
      <c r="B54" s="1">
        <v>3612.9259999999999</v>
      </c>
      <c r="C54" s="1">
        <v>30.1</v>
      </c>
      <c r="D54" s="5">
        <v>0.1598</v>
      </c>
      <c r="E54" s="5">
        <v>0.1326</v>
      </c>
      <c r="F54" s="5">
        <v>0.15090000000000001</v>
      </c>
      <c r="G54" s="5">
        <v>0.1198</v>
      </c>
      <c r="H54" s="5">
        <v>0.1222</v>
      </c>
      <c r="I54" s="5">
        <v>0.16300000000000001</v>
      </c>
      <c r="J54" s="5">
        <v>0.18090000000000001</v>
      </c>
      <c r="K54" s="5">
        <v>0.15989999999999999</v>
      </c>
      <c r="L54" s="5">
        <v>0.13769999999999999</v>
      </c>
      <c r="M54" s="5">
        <v>0.16039999999999999</v>
      </c>
      <c r="N54" s="5">
        <v>0.1216</v>
      </c>
      <c r="O54" s="5">
        <v>0.13020000000000001</v>
      </c>
      <c r="P54" s="5">
        <v>9.9500000000000005E-2</v>
      </c>
      <c r="Q54" s="5">
        <v>0.12559999999999999</v>
      </c>
      <c r="R54" s="5">
        <v>0.1651</v>
      </c>
      <c r="S54" s="5">
        <v>0.13389999999999999</v>
      </c>
      <c r="T54" s="5">
        <v>0.1797</v>
      </c>
      <c r="U54" s="5">
        <v>0.1153</v>
      </c>
      <c r="V54" s="5">
        <v>9.7600000000000006E-2</v>
      </c>
      <c r="W54" s="5">
        <v>0.1196</v>
      </c>
      <c r="X54" s="5">
        <v>0.189</v>
      </c>
      <c r="Y54" s="5">
        <v>0.1139</v>
      </c>
      <c r="Z54" s="5">
        <v>0.1042</v>
      </c>
      <c r="AA54" s="1">
        <v>9.5399999999999999E-2</v>
      </c>
    </row>
    <row r="55" spans="1:27" x14ac:dyDescent="0.45">
      <c r="A55" s="3" t="s">
        <v>86</v>
      </c>
      <c r="B55" s="1">
        <v>7225.4179999999997</v>
      </c>
      <c r="C55" s="1">
        <v>30</v>
      </c>
      <c r="D55" s="5">
        <v>0.1739</v>
      </c>
      <c r="E55" s="5">
        <v>0.13589999999999999</v>
      </c>
      <c r="F55" s="5">
        <v>0.15459999999999999</v>
      </c>
      <c r="G55" s="5">
        <v>0.12809999999999999</v>
      </c>
      <c r="H55" s="5">
        <v>0.1326</v>
      </c>
      <c r="I55" s="5">
        <v>0.1641</v>
      </c>
      <c r="J55" s="5">
        <v>0.19350000000000001</v>
      </c>
      <c r="K55" s="5">
        <v>0.17469999999999999</v>
      </c>
      <c r="L55" s="5">
        <v>0.1421</v>
      </c>
      <c r="M55" s="5">
        <v>0.16550000000000001</v>
      </c>
      <c r="N55" s="5">
        <v>0.1431</v>
      </c>
      <c r="O55" s="5">
        <v>0.13220000000000001</v>
      </c>
      <c r="P55" s="5">
        <v>0.1111</v>
      </c>
      <c r="Q55" s="5">
        <v>0.1401</v>
      </c>
      <c r="R55" s="5">
        <v>0.17979999999999999</v>
      </c>
      <c r="S55" s="5">
        <v>0.13539999999999999</v>
      </c>
      <c r="T55" s="5">
        <v>0.17380000000000001</v>
      </c>
      <c r="U55" s="5">
        <v>0.1249</v>
      </c>
      <c r="V55" s="5">
        <v>9.7699999999999995E-2</v>
      </c>
      <c r="W55" s="5">
        <v>0.11509999999999999</v>
      </c>
      <c r="X55" s="5">
        <v>0.18909999999999999</v>
      </c>
      <c r="Y55" s="5">
        <v>0.1663</v>
      </c>
      <c r="Z55" s="5">
        <v>9.9500000000000005E-2</v>
      </c>
      <c r="AA55" s="1">
        <v>9.4899999999999998E-2</v>
      </c>
    </row>
    <row r="56" spans="1:27" x14ac:dyDescent="0.45">
      <c r="A56" s="3" t="s">
        <v>87</v>
      </c>
      <c r="B56" s="1">
        <v>10837.888000000001</v>
      </c>
      <c r="C56" s="1">
        <v>30</v>
      </c>
      <c r="D56" s="5">
        <v>0.193</v>
      </c>
      <c r="E56" s="5">
        <v>0.14849999999999999</v>
      </c>
      <c r="F56" s="5">
        <v>0.15459999999999999</v>
      </c>
      <c r="G56" s="5">
        <v>0.1303</v>
      </c>
      <c r="H56" s="5">
        <v>0.14299999999999999</v>
      </c>
      <c r="I56" s="5">
        <v>0.16009999999999999</v>
      </c>
      <c r="J56" s="5">
        <v>0.18809999999999999</v>
      </c>
      <c r="K56" s="5">
        <v>0.19139999999999999</v>
      </c>
      <c r="L56" s="5">
        <v>0.15049999999999999</v>
      </c>
      <c r="M56" s="5">
        <v>0.16370000000000001</v>
      </c>
      <c r="N56" s="5">
        <v>0.13950000000000001</v>
      </c>
      <c r="O56" s="5">
        <v>0.15540000000000001</v>
      </c>
      <c r="P56" s="5">
        <v>0.1159</v>
      </c>
      <c r="Q56" s="5">
        <v>0.14649999999999999</v>
      </c>
      <c r="R56" s="5">
        <v>0.2049</v>
      </c>
      <c r="S56" s="5">
        <v>0.14380000000000001</v>
      </c>
      <c r="T56" s="5">
        <v>0.1731</v>
      </c>
      <c r="U56" s="5">
        <v>0.1386</v>
      </c>
      <c r="V56" s="5">
        <v>9.7799999999999998E-2</v>
      </c>
      <c r="W56" s="5">
        <v>0.11409999999999999</v>
      </c>
      <c r="X56" s="5">
        <v>0.20830000000000001</v>
      </c>
      <c r="Y56" s="5">
        <v>0.1229</v>
      </c>
      <c r="Z56" s="5">
        <v>9.9900000000000003E-2</v>
      </c>
      <c r="AA56" s="1">
        <v>9.5100000000000004E-2</v>
      </c>
    </row>
    <row r="57" spans="1:27" x14ac:dyDescent="0.45">
      <c r="A57" s="3" t="s">
        <v>88</v>
      </c>
      <c r="B57" s="1">
        <v>14450.342000000001</v>
      </c>
      <c r="C57" s="1">
        <v>30.2</v>
      </c>
      <c r="D57" s="5">
        <v>0.20419999999999999</v>
      </c>
      <c r="E57" s="5">
        <v>0.15040000000000001</v>
      </c>
      <c r="F57" s="5">
        <v>0.1749</v>
      </c>
      <c r="G57" s="5">
        <v>0.14949999999999999</v>
      </c>
      <c r="H57" s="5">
        <v>0.1469</v>
      </c>
      <c r="I57" s="5">
        <v>0.1429</v>
      </c>
      <c r="J57" s="5">
        <v>0.22950000000000001</v>
      </c>
      <c r="K57" s="5">
        <v>0.20250000000000001</v>
      </c>
      <c r="L57" s="5">
        <v>0.1547</v>
      </c>
      <c r="M57" s="5">
        <v>0.1769</v>
      </c>
      <c r="N57" s="5">
        <v>0.1658</v>
      </c>
      <c r="O57" s="5">
        <v>0.15340000000000001</v>
      </c>
      <c r="P57" s="5">
        <v>0.1203</v>
      </c>
      <c r="Q57" s="5">
        <v>0.161</v>
      </c>
      <c r="R57" s="5">
        <v>0.21390000000000001</v>
      </c>
      <c r="S57" s="5">
        <v>0.1462</v>
      </c>
      <c r="T57" s="5">
        <v>0.19139999999999999</v>
      </c>
      <c r="U57" s="5">
        <v>0.14419999999999999</v>
      </c>
      <c r="V57" s="5">
        <v>9.7600000000000006E-2</v>
      </c>
      <c r="W57" s="5">
        <v>0.1119</v>
      </c>
      <c r="X57" s="5">
        <v>0.19950000000000001</v>
      </c>
      <c r="Y57" s="5">
        <v>0.114</v>
      </c>
      <c r="Z57" s="5">
        <v>9.98E-2</v>
      </c>
      <c r="AA57" s="1">
        <v>0.14649999999999999</v>
      </c>
    </row>
    <row r="58" spans="1:27" x14ac:dyDescent="0.45">
      <c r="A58" s="3" t="s">
        <v>89</v>
      </c>
      <c r="B58" s="1">
        <v>18062.785</v>
      </c>
      <c r="C58" s="1">
        <v>30.3</v>
      </c>
      <c r="D58" s="5">
        <v>0.21740000000000001</v>
      </c>
      <c r="E58" s="5">
        <v>0.16189999999999999</v>
      </c>
      <c r="F58" s="5">
        <v>0.19370000000000001</v>
      </c>
      <c r="G58" s="5">
        <v>0.15840000000000001</v>
      </c>
      <c r="H58" s="5">
        <v>0.15179999999999999</v>
      </c>
      <c r="I58" s="5">
        <v>0.1736</v>
      </c>
      <c r="J58" s="5">
        <v>0.2132</v>
      </c>
      <c r="K58" s="5">
        <v>0.21990000000000001</v>
      </c>
      <c r="L58" s="5">
        <v>0.1585</v>
      </c>
      <c r="M58" s="5">
        <v>0.16270000000000001</v>
      </c>
      <c r="N58" s="5">
        <v>0.16120000000000001</v>
      </c>
      <c r="O58" s="5">
        <v>0.16600000000000001</v>
      </c>
      <c r="P58" s="5">
        <v>0.1104</v>
      </c>
      <c r="Q58" s="5">
        <v>0.21299999999999999</v>
      </c>
      <c r="R58" s="5">
        <v>0.2263</v>
      </c>
      <c r="S58" s="5">
        <v>0.15989999999999999</v>
      </c>
      <c r="T58" s="5">
        <v>0.184</v>
      </c>
      <c r="U58" s="5">
        <v>0.14990000000000001</v>
      </c>
      <c r="V58" s="5">
        <v>9.7799999999999998E-2</v>
      </c>
      <c r="W58" s="5">
        <v>0.13850000000000001</v>
      </c>
      <c r="X58" s="5">
        <v>0.23930000000000001</v>
      </c>
      <c r="Y58" s="5">
        <v>0.1171</v>
      </c>
      <c r="Z58" s="5">
        <v>9.9900000000000003E-2</v>
      </c>
      <c r="AA58" s="1">
        <v>0.13500000000000001</v>
      </c>
    </row>
    <row r="59" spans="1:27" x14ac:dyDescent="0.45">
      <c r="A59" s="3" t="s">
        <v>90</v>
      </c>
      <c r="B59" s="1">
        <v>21675.241000000002</v>
      </c>
      <c r="C59" s="1">
        <v>30</v>
      </c>
      <c r="D59" s="5">
        <v>0.24060000000000001</v>
      </c>
      <c r="E59" s="5">
        <v>0.17460000000000001</v>
      </c>
      <c r="F59" s="5">
        <v>0.15959999999999999</v>
      </c>
      <c r="G59" s="5">
        <v>0.17510000000000001</v>
      </c>
      <c r="H59" s="5">
        <v>0.16980000000000001</v>
      </c>
      <c r="I59" s="5">
        <v>0.20699999999999999</v>
      </c>
      <c r="J59" s="5">
        <v>0.2213</v>
      </c>
      <c r="K59" s="5">
        <v>0.22450000000000001</v>
      </c>
      <c r="L59" s="5">
        <v>0.1787</v>
      </c>
      <c r="M59" s="5">
        <v>0.16830000000000001</v>
      </c>
      <c r="N59" s="5">
        <v>0.17399999999999999</v>
      </c>
      <c r="O59" s="5">
        <v>0.16259999999999999</v>
      </c>
      <c r="P59" s="5">
        <v>0.1072</v>
      </c>
      <c r="Q59" s="5">
        <v>0.1691</v>
      </c>
      <c r="R59" s="5">
        <v>0.23569999999999999</v>
      </c>
      <c r="S59" s="5">
        <v>0.17549999999999999</v>
      </c>
      <c r="T59" s="5">
        <v>0.1971</v>
      </c>
      <c r="U59" s="5">
        <v>0.15989999999999999</v>
      </c>
      <c r="V59" s="5">
        <v>9.8000000000000004E-2</v>
      </c>
      <c r="W59" s="5">
        <v>0.1242</v>
      </c>
      <c r="X59" s="5">
        <v>0.26369999999999999</v>
      </c>
      <c r="Y59" s="5">
        <v>0.13639999999999999</v>
      </c>
      <c r="Z59" s="5">
        <v>9.9500000000000005E-2</v>
      </c>
      <c r="AA59" s="1">
        <v>0.1017</v>
      </c>
    </row>
    <row r="60" spans="1:27" x14ac:dyDescent="0.45">
      <c r="A60" s="3" t="s">
        <v>91</v>
      </c>
      <c r="B60" s="1">
        <v>25287.707999999999</v>
      </c>
      <c r="C60" s="1">
        <v>30</v>
      </c>
      <c r="D60" s="5">
        <v>0.27489999999999998</v>
      </c>
      <c r="E60" s="5">
        <v>0.18160000000000001</v>
      </c>
      <c r="F60" s="5">
        <v>0.14710000000000001</v>
      </c>
      <c r="G60" s="5">
        <v>0.16589999999999999</v>
      </c>
      <c r="H60" s="5">
        <v>0.19400000000000001</v>
      </c>
      <c r="I60" s="5">
        <v>0.1961</v>
      </c>
      <c r="J60" s="5">
        <v>0.25869999999999999</v>
      </c>
      <c r="K60" s="5">
        <v>0.27910000000000001</v>
      </c>
      <c r="L60" s="5">
        <v>0.18709999999999999</v>
      </c>
      <c r="M60" s="5">
        <v>0.17510000000000001</v>
      </c>
      <c r="N60" s="5">
        <v>0.15310000000000001</v>
      </c>
      <c r="O60" s="5">
        <v>0.18090000000000001</v>
      </c>
      <c r="P60" s="5">
        <v>0.1245</v>
      </c>
      <c r="Q60" s="5">
        <v>0.19439999999999999</v>
      </c>
      <c r="R60" s="5">
        <v>0.26979999999999998</v>
      </c>
      <c r="S60" s="5">
        <v>0.17860000000000001</v>
      </c>
      <c r="T60" s="5">
        <v>0.14230000000000001</v>
      </c>
      <c r="U60" s="5">
        <v>0.16689999999999999</v>
      </c>
      <c r="V60" s="5">
        <v>9.7699999999999995E-2</v>
      </c>
      <c r="W60" s="5">
        <v>0.1268</v>
      </c>
      <c r="X60" s="5">
        <v>0.31569999999999998</v>
      </c>
      <c r="Y60" s="5">
        <v>0.11550000000000001</v>
      </c>
      <c r="Z60" s="5">
        <v>9.9900000000000003E-2</v>
      </c>
      <c r="AA60" s="1">
        <v>0.10489999999999999</v>
      </c>
    </row>
    <row r="61" spans="1:27" x14ac:dyDescent="0.45">
      <c r="A61" s="3" t="s">
        <v>92</v>
      </c>
      <c r="B61" s="1">
        <v>28900.153999999999</v>
      </c>
      <c r="C61" s="1">
        <v>30.1</v>
      </c>
      <c r="D61" s="5">
        <v>0.2833</v>
      </c>
      <c r="E61" s="5">
        <v>0.19040000000000001</v>
      </c>
      <c r="F61" s="5">
        <v>0.11559999999999999</v>
      </c>
      <c r="G61" s="5">
        <v>0.186</v>
      </c>
      <c r="H61" s="5">
        <v>0.18099999999999999</v>
      </c>
      <c r="I61" s="5">
        <v>0.21229999999999999</v>
      </c>
      <c r="J61" s="5">
        <v>0.21049999999999999</v>
      </c>
      <c r="K61" s="5">
        <v>0.28499999999999998</v>
      </c>
      <c r="L61" s="5">
        <v>0.19489999999999999</v>
      </c>
      <c r="M61" s="5">
        <v>0.17810000000000001</v>
      </c>
      <c r="N61" s="5">
        <v>0.158</v>
      </c>
      <c r="O61" s="5">
        <v>0.21790000000000001</v>
      </c>
      <c r="P61" s="5">
        <v>0.13270000000000001</v>
      </c>
      <c r="Q61" s="5">
        <v>0.2046</v>
      </c>
      <c r="R61" s="5">
        <v>0.29870000000000002</v>
      </c>
      <c r="S61" s="5">
        <v>0.20280000000000001</v>
      </c>
      <c r="T61" s="5">
        <v>0.12189999999999999</v>
      </c>
      <c r="U61" s="5">
        <v>0.19389999999999999</v>
      </c>
      <c r="V61" s="5">
        <v>9.7699999999999995E-2</v>
      </c>
      <c r="W61" s="5">
        <v>0.1273</v>
      </c>
      <c r="X61" s="5">
        <v>0.27760000000000001</v>
      </c>
      <c r="Y61" s="5">
        <v>0.1656</v>
      </c>
      <c r="Z61" s="5">
        <v>9.9900000000000003E-2</v>
      </c>
      <c r="AA61" s="1">
        <v>0.1061</v>
      </c>
    </row>
    <row r="62" spans="1:27" x14ac:dyDescent="0.45">
      <c r="A62" s="3" t="s">
        <v>93</v>
      </c>
      <c r="B62" s="1">
        <v>32512.636999999999</v>
      </c>
      <c r="C62" s="1">
        <v>30</v>
      </c>
      <c r="D62" s="5">
        <v>0.30869999999999997</v>
      </c>
      <c r="E62" s="5">
        <v>0.2014</v>
      </c>
      <c r="F62" s="5">
        <v>0.1229</v>
      </c>
      <c r="G62" s="5">
        <v>0.192</v>
      </c>
      <c r="H62" s="5">
        <v>0.191</v>
      </c>
      <c r="I62" s="5">
        <v>0.20610000000000001</v>
      </c>
      <c r="J62" s="5">
        <v>0.27610000000000001</v>
      </c>
      <c r="K62" s="5">
        <v>0.30309999999999998</v>
      </c>
      <c r="L62" s="5">
        <v>0.22209999999999999</v>
      </c>
      <c r="M62" s="5">
        <v>0.20180000000000001</v>
      </c>
      <c r="N62" s="5">
        <v>0.20300000000000001</v>
      </c>
      <c r="O62" s="5">
        <v>0.19409999999999999</v>
      </c>
      <c r="P62" s="5">
        <v>0.12379999999999999</v>
      </c>
      <c r="Q62" s="5">
        <v>0.2079</v>
      </c>
      <c r="R62" s="5">
        <v>0.31580000000000003</v>
      </c>
      <c r="S62" s="5">
        <v>0.218</v>
      </c>
      <c r="T62" s="5">
        <v>0.15709999999999999</v>
      </c>
      <c r="U62" s="5">
        <v>0.2082</v>
      </c>
      <c r="V62" s="5">
        <v>9.7799999999999998E-2</v>
      </c>
      <c r="W62" s="5">
        <v>0.14050000000000001</v>
      </c>
      <c r="X62" s="5">
        <v>0.28420000000000001</v>
      </c>
      <c r="Y62" s="5">
        <v>0.16600000000000001</v>
      </c>
      <c r="Z62" s="5">
        <v>9.98E-2</v>
      </c>
      <c r="AA62" s="1">
        <v>0.104</v>
      </c>
    </row>
    <row r="63" spans="1:27" x14ac:dyDescent="0.45">
      <c r="A63" s="3" t="s">
        <v>94</v>
      </c>
      <c r="B63" s="1">
        <v>36125.118999999999</v>
      </c>
      <c r="C63" s="1">
        <v>30</v>
      </c>
      <c r="D63" s="5">
        <v>0.32750000000000001</v>
      </c>
      <c r="E63" s="5">
        <v>0.22819999999999999</v>
      </c>
      <c r="F63" s="5">
        <v>9.7799999999999998E-2</v>
      </c>
      <c r="G63" s="5">
        <v>0.1852</v>
      </c>
      <c r="H63" s="5">
        <v>0.19289999999999999</v>
      </c>
      <c r="I63" s="5">
        <v>0.17780000000000001</v>
      </c>
      <c r="J63" s="5">
        <v>0.2319</v>
      </c>
      <c r="K63" s="5">
        <v>0.30580000000000002</v>
      </c>
      <c r="L63" s="5">
        <v>0.22409999999999999</v>
      </c>
      <c r="M63" s="5">
        <v>0.14849999999999999</v>
      </c>
      <c r="N63" s="5">
        <v>0.19040000000000001</v>
      </c>
      <c r="O63" s="5">
        <v>0.21129999999999999</v>
      </c>
      <c r="P63" s="5">
        <v>0.11509999999999999</v>
      </c>
      <c r="Q63" s="5">
        <v>0.19800000000000001</v>
      </c>
      <c r="R63" s="5">
        <v>0.33</v>
      </c>
      <c r="S63" s="5">
        <v>0.23</v>
      </c>
      <c r="T63" s="5">
        <v>9.8299999999999998E-2</v>
      </c>
      <c r="U63" s="5">
        <v>0.18540000000000001</v>
      </c>
      <c r="V63" s="5">
        <v>9.7900000000000001E-2</v>
      </c>
      <c r="W63" s="5">
        <v>0.15110000000000001</v>
      </c>
      <c r="X63" s="5">
        <v>0.2601</v>
      </c>
      <c r="Y63" s="5">
        <v>0.15329999999999999</v>
      </c>
      <c r="Z63" s="5">
        <v>9.9900000000000003E-2</v>
      </c>
      <c r="AA63" s="1">
        <v>0.1036</v>
      </c>
    </row>
    <row r="64" spans="1:27" x14ac:dyDescent="0.45">
      <c r="A64" s="3" t="s">
        <v>95</v>
      </c>
      <c r="B64" s="1">
        <v>39737.599999999999</v>
      </c>
      <c r="C64" s="1">
        <v>30</v>
      </c>
      <c r="D64" s="5">
        <v>0.33239999999999997</v>
      </c>
      <c r="E64" s="5">
        <v>0.2382</v>
      </c>
      <c r="F64" s="5">
        <v>0.111</v>
      </c>
      <c r="G64" s="5">
        <v>0.1983</v>
      </c>
      <c r="H64" s="5">
        <v>0.1938</v>
      </c>
      <c r="I64" s="5">
        <v>0.20230000000000001</v>
      </c>
      <c r="J64" s="5">
        <v>0.28289999999999998</v>
      </c>
      <c r="K64" s="5">
        <v>0.33040000000000003</v>
      </c>
      <c r="L64" s="5">
        <v>0.25009999999999999</v>
      </c>
      <c r="M64" s="5">
        <v>0.1517</v>
      </c>
      <c r="N64" s="5">
        <v>0.22120000000000001</v>
      </c>
      <c r="O64" s="5">
        <v>0.21609999999999999</v>
      </c>
      <c r="P64" s="5">
        <v>0.1484</v>
      </c>
      <c r="Q64" s="5">
        <v>0.217</v>
      </c>
      <c r="R64" s="5">
        <v>0.38090000000000002</v>
      </c>
      <c r="S64" s="5">
        <v>0.2374</v>
      </c>
      <c r="T64" s="5">
        <v>9.7699999999999995E-2</v>
      </c>
      <c r="U64" s="5">
        <v>0.2324</v>
      </c>
      <c r="V64" s="5">
        <v>9.7699999999999995E-2</v>
      </c>
      <c r="W64" s="5">
        <v>0.1656</v>
      </c>
      <c r="X64" s="5">
        <v>0.36249999999999999</v>
      </c>
      <c r="Y64" s="5">
        <v>0.14069999999999999</v>
      </c>
      <c r="Z64" s="5">
        <v>9.98E-2</v>
      </c>
      <c r="AA64" s="1">
        <v>0.1026</v>
      </c>
    </row>
    <row r="65" spans="1:27" x14ac:dyDescent="0.45">
      <c r="A65" s="3" t="s">
        <v>96</v>
      </c>
      <c r="B65" s="1">
        <v>43350.048999999999</v>
      </c>
      <c r="C65" s="1">
        <v>30</v>
      </c>
      <c r="D65" s="5">
        <v>0.34610000000000002</v>
      </c>
      <c r="E65" s="5">
        <v>0.23760000000000001</v>
      </c>
      <c r="F65" s="5">
        <v>9.74E-2</v>
      </c>
      <c r="G65" s="5">
        <v>0.21540000000000001</v>
      </c>
      <c r="H65" s="5">
        <v>0.22</v>
      </c>
      <c r="I65" s="5">
        <v>0.23619999999999999</v>
      </c>
      <c r="J65" s="5">
        <v>0.31740000000000002</v>
      </c>
      <c r="K65" s="5">
        <v>0.35780000000000001</v>
      </c>
      <c r="L65" s="5">
        <v>0.26219999999999999</v>
      </c>
      <c r="M65" s="5">
        <v>0.16919999999999999</v>
      </c>
      <c r="N65" s="5">
        <v>0.218</v>
      </c>
      <c r="O65" s="5">
        <v>0.2051</v>
      </c>
      <c r="P65" s="5">
        <v>0.1231</v>
      </c>
      <c r="Q65" s="5">
        <v>0.2281</v>
      </c>
      <c r="R65" s="5">
        <v>0.4108</v>
      </c>
      <c r="S65" s="5">
        <v>0.25440000000000002</v>
      </c>
      <c r="T65" s="5">
        <v>9.7500000000000003E-2</v>
      </c>
      <c r="U65" s="5">
        <v>0.25480000000000003</v>
      </c>
      <c r="V65" s="5">
        <v>9.8000000000000004E-2</v>
      </c>
      <c r="W65" s="5">
        <v>0.1479</v>
      </c>
      <c r="X65" s="5">
        <v>0.36499999999999999</v>
      </c>
      <c r="Y65" s="5">
        <v>0.13819999999999999</v>
      </c>
      <c r="Z65" s="5">
        <v>0.1</v>
      </c>
      <c r="AA65" s="1">
        <v>0.1028</v>
      </c>
    </row>
    <row r="66" spans="1:27" x14ac:dyDescent="0.45">
      <c r="A66" s="3" t="s">
        <v>97</v>
      </c>
      <c r="B66" s="1">
        <v>46962.472000000002</v>
      </c>
      <c r="C66" s="1">
        <v>30</v>
      </c>
      <c r="D66" s="5">
        <v>0.34889999999999999</v>
      </c>
      <c r="E66" s="5">
        <v>0.26960000000000001</v>
      </c>
      <c r="F66" s="5">
        <v>9.74E-2</v>
      </c>
      <c r="G66" s="5">
        <v>0.21990000000000001</v>
      </c>
      <c r="H66" s="5">
        <v>0.21460000000000001</v>
      </c>
      <c r="I66" s="5">
        <v>0.18479999999999999</v>
      </c>
      <c r="J66" s="5">
        <v>0.26590000000000003</v>
      </c>
      <c r="K66" s="5">
        <v>0.36230000000000001</v>
      </c>
      <c r="L66" s="5">
        <v>0.26119999999999999</v>
      </c>
      <c r="M66" s="5">
        <v>0.17230000000000001</v>
      </c>
      <c r="N66" s="5">
        <v>0.24340000000000001</v>
      </c>
      <c r="O66" s="5">
        <v>0.2051</v>
      </c>
      <c r="P66" s="5">
        <v>0.13500000000000001</v>
      </c>
      <c r="Q66" s="5">
        <v>0.25800000000000001</v>
      </c>
      <c r="R66" s="5">
        <v>0.43030000000000002</v>
      </c>
      <c r="S66" s="5">
        <v>0.2802</v>
      </c>
      <c r="T66" s="5">
        <v>9.9599999999999994E-2</v>
      </c>
      <c r="U66" s="5">
        <v>0.26829999999999998</v>
      </c>
      <c r="V66" s="5">
        <v>9.7699999999999995E-2</v>
      </c>
      <c r="W66" s="5">
        <v>0.20280000000000001</v>
      </c>
      <c r="X66" s="5">
        <v>0.2994</v>
      </c>
      <c r="Y66" s="5">
        <v>0.15359999999999999</v>
      </c>
      <c r="Z66" s="5">
        <v>0.10009999999999999</v>
      </c>
      <c r="AA66" s="1">
        <v>0.1026</v>
      </c>
    </row>
    <row r="67" spans="1:27" x14ac:dyDescent="0.45">
      <c r="A67" s="3" t="s">
        <v>98</v>
      </c>
      <c r="B67" s="1">
        <v>50574.898000000001</v>
      </c>
      <c r="C67" s="1">
        <v>30</v>
      </c>
      <c r="D67" s="5">
        <v>0.34470000000000001</v>
      </c>
      <c r="E67" s="5">
        <v>0.27529999999999999</v>
      </c>
      <c r="F67" s="5">
        <v>9.7500000000000003E-2</v>
      </c>
      <c r="G67" s="5">
        <v>0.2419</v>
      </c>
      <c r="H67" s="5">
        <v>0.2185</v>
      </c>
      <c r="I67" s="5">
        <v>0.2082</v>
      </c>
      <c r="J67" s="5">
        <v>0.311</v>
      </c>
      <c r="K67" s="5">
        <v>0.36159999999999998</v>
      </c>
      <c r="L67" s="5">
        <v>0.27960000000000002</v>
      </c>
      <c r="M67" s="5">
        <v>0.13109999999999999</v>
      </c>
      <c r="N67" s="5">
        <v>0.25309999999999999</v>
      </c>
      <c r="O67" s="5">
        <v>0.24229999999999999</v>
      </c>
      <c r="P67" s="5">
        <v>0.16839999999999999</v>
      </c>
      <c r="Q67" s="5">
        <v>0.25650000000000001</v>
      </c>
      <c r="R67" s="5">
        <v>0.45250000000000001</v>
      </c>
      <c r="S67" s="5">
        <v>0.2727</v>
      </c>
      <c r="T67" s="5">
        <v>9.7900000000000001E-2</v>
      </c>
      <c r="U67" s="5">
        <v>0.2717</v>
      </c>
      <c r="V67" s="5">
        <v>9.7500000000000003E-2</v>
      </c>
      <c r="W67" s="5">
        <v>0.18049999999999999</v>
      </c>
      <c r="X67" s="5">
        <v>0.27610000000000001</v>
      </c>
      <c r="Y67" s="5">
        <v>0.16830000000000001</v>
      </c>
      <c r="Z67" s="5">
        <v>9.9900000000000003E-2</v>
      </c>
      <c r="AA67" s="1">
        <v>0.1023</v>
      </c>
    </row>
    <row r="68" spans="1:27" x14ac:dyDescent="0.45">
      <c r="A68" s="3" t="s">
        <v>99</v>
      </c>
      <c r="B68" s="1">
        <v>54187.368999999999</v>
      </c>
      <c r="C68" s="1">
        <v>30</v>
      </c>
      <c r="D68" s="5">
        <v>0.35220000000000001</v>
      </c>
      <c r="E68" s="5">
        <v>0.26529999999999998</v>
      </c>
      <c r="F68" s="5">
        <v>9.74E-2</v>
      </c>
      <c r="G68" s="5">
        <v>0.25319999999999998</v>
      </c>
      <c r="H68" s="5">
        <v>0.23769999999999999</v>
      </c>
      <c r="I68" s="5">
        <v>0.2137</v>
      </c>
      <c r="J68" s="5">
        <v>0.36899999999999999</v>
      </c>
      <c r="K68" s="5">
        <v>0.35880000000000001</v>
      </c>
      <c r="L68" s="5">
        <v>0.30349999999999999</v>
      </c>
      <c r="M68" s="5">
        <v>0.1769</v>
      </c>
      <c r="N68" s="5">
        <v>0.2676</v>
      </c>
      <c r="O68" s="5">
        <v>0.23580000000000001</v>
      </c>
      <c r="P68" s="5">
        <v>0.1951</v>
      </c>
      <c r="Q68" s="5">
        <v>0.24740000000000001</v>
      </c>
      <c r="R68" s="5">
        <v>0.44230000000000003</v>
      </c>
      <c r="S68" s="5">
        <v>0.31240000000000001</v>
      </c>
      <c r="T68" s="5">
        <v>0.1212</v>
      </c>
      <c r="U68" s="5">
        <v>0.35589999999999999</v>
      </c>
      <c r="V68" s="5">
        <v>9.7799999999999998E-2</v>
      </c>
      <c r="W68" s="5">
        <v>0.15870000000000001</v>
      </c>
      <c r="X68" s="5">
        <v>0.31109999999999999</v>
      </c>
      <c r="Y68" s="5">
        <v>0.13400000000000001</v>
      </c>
      <c r="Z68" s="5">
        <v>9.98E-2</v>
      </c>
      <c r="AA68" s="1">
        <v>0.10249999999999999</v>
      </c>
    </row>
    <row r="69" spans="1:27" x14ac:dyDescent="0.45">
      <c r="A69" s="3" t="s">
        <v>100</v>
      </c>
      <c r="B69" s="1">
        <v>57799.822999999997</v>
      </c>
      <c r="C69" s="1">
        <v>30</v>
      </c>
      <c r="D69" s="5">
        <v>0.379</v>
      </c>
      <c r="E69" s="5">
        <v>0.26600000000000001</v>
      </c>
      <c r="F69" s="5">
        <v>9.74E-2</v>
      </c>
      <c r="G69" s="5">
        <v>0.25829999999999997</v>
      </c>
      <c r="H69" s="5">
        <v>0.24510000000000001</v>
      </c>
      <c r="I69" s="5">
        <v>0.23119999999999999</v>
      </c>
      <c r="J69" s="5">
        <v>0.29299999999999998</v>
      </c>
      <c r="K69" s="5">
        <v>0.34789999999999999</v>
      </c>
      <c r="L69" s="5">
        <v>0.29780000000000001</v>
      </c>
      <c r="M69" s="5">
        <v>0.15</v>
      </c>
      <c r="N69" s="5">
        <v>0.25779999999999997</v>
      </c>
      <c r="O69" s="5">
        <v>0.23530000000000001</v>
      </c>
      <c r="P69" s="5">
        <v>0.17649999999999999</v>
      </c>
      <c r="Q69" s="5">
        <v>0.31900000000000001</v>
      </c>
      <c r="R69" s="5">
        <v>0.41310000000000002</v>
      </c>
      <c r="S69" s="5">
        <v>0.31830000000000003</v>
      </c>
      <c r="T69" s="5">
        <v>0.1111</v>
      </c>
      <c r="U69" s="5">
        <v>0.31130000000000002</v>
      </c>
      <c r="V69" s="5">
        <v>9.7799999999999998E-2</v>
      </c>
      <c r="W69" s="5">
        <v>0.1615</v>
      </c>
      <c r="X69" s="5">
        <v>0.30780000000000002</v>
      </c>
      <c r="Y69" s="5">
        <v>0.16969999999999999</v>
      </c>
      <c r="Z69" s="5">
        <v>9.9900000000000003E-2</v>
      </c>
      <c r="AA69" s="1">
        <v>0.1021</v>
      </c>
    </row>
    <row r="70" spans="1:27" x14ac:dyDescent="0.45">
      <c r="A70" s="3" t="s">
        <v>101</v>
      </c>
      <c r="B70" s="1">
        <v>61412.264999999999</v>
      </c>
      <c r="C70" s="1">
        <v>30</v>
      </c>
      <c r="D70" s="5">
        <v>0.32319999999999999</v>
      </c>
      <c r="E70" s="5">
        <v>0.26869999999999999</v>
      </c>
      <c r="F70" s="5">
        <v>9.7500000000000003E-2</v>
      </c>
      <c r="G70" s="5">
        <v>0.2417</v>
      </c>
      <c r="H70" s="5">
        <v>0.2379</v>
      </c>
      <c r="I70" s="5">
        <v>0.2263</v>
      </c>
      <c r="J70" s="5">
        <v>0.29060000000000002</v>
      </c>
      <c r="K70" s="5">
        <v>0.3548</v>
      </c>
      <c r="L70" s="5">
        <v>0.31869999999999998</v>
      </c>
      <c r="M70" s="5">
        <v>0.1192</v>
      </c>
      <c r="N70" s="5">
        <v>0.27800000000000002</v>
      </c>
      <c r="O70" s="5">
        <v>0.23630000000000001</v>
      </c>
      <c r="P70" s="5">
        <v>0.38369999999999999</v>
      </c>
      <c r="Q70" s="5">
        <v>0.3196</v>
      </c>
      <c r="R70" s="5">
        <v>0.4108</v>
      </c>
      <c r="S70" s="5">
        <v>0.23680000000000001</v>
      </c>
      <c r="T70" s="5">
        <v>9.8000000000000004E-2</v>
      </c>
      <c r="U70" s="5">
        <v>0.37609999999999999</v>
      </c>
      <c r="V70" s="5">
        <v>9.7600000000000006E-2</v>
      </c>
      <c r="W70" s="5">
        <v>0.1129</v>
      </c>
      <c r="X70" s="5">
        <v>0.24529999999999999</v>
      </c>
      <c r="Y70" s="5">
        <v>0.1603</v>
      </c>
      <c r="Z70" s="5">
        <v>0.1</v>
      </c>
      <c r="AA70" s="1">
        <v>0.1022</v>
      </c>
    </row>
    <row r="71" spans="1:27" x14ac:dyDescent="0.45">
      <c r="A71" s="3" t="s">
        <v>102</v>
      </c>
      <c r="B71" s="1">
        <v>65024.741999999998</v>
      </c>
      <c r="C71" s="1">
        <v>30</v>
      </c>
      <c r="D71" s="5">
        <v>0.3367</v>
      </c>
      <c r="E71" s="5">
        <v>0.26169999999999999</v>
      </c>
      <c r="F71" s="5">
        <v>9.7299999999999998E-2</v>
      </c>
      <c r="G71" s="5">
        <v>0.2641</v>
      </c>
      <c r="H71" s="5">
        <v>0.23599999999999999</v>
      </c>
      <c r="I71" s="5">
        <v>0.1996</v>
      </c>
      <c r="J71" s="5">
        <v>0.27150000000000002</v>
      </c>
      <c r="K71" s="5">
        <v>0.3619</v>
      </c>
      <c r="L71" s="5">
        <v>0.32100000000000001</v>
      </c>
      <c r="M71" s="5">
        <v>9.74E-2</v>
      </c>
      <c r="N71" s="5">
        <v>0.29149999999999998</v>
      </c>
      <c r="O71" s="5">
        <v>0.2364</v>
      </c>
      <c r="P71" s="5">
        <v>0.19350000000000001</v>
      </c>
      <c r="Q71" s="5">
        <v>0.31240000000000001</v>
      </c>
      <c r="R71" s="5">
        <v>0.39229999999999998</v>
      </c>
      <c r="S71" s="5">
        <v>0.36020000000000002</v>
      </c>
      <c r="T71" s="5">
        <v>0.112</v>
      </c>
      <c r="U71" s="5">
        <v>0.3392</v>
      </c>
      <c r="V71" s="5">
        <v>9.7600000000000006E-2</v>
      </c>
      <c r="W71" s="5">
        <v>9.6299999999999997E-2</v>
      </c>
      <c r="X71" s="5">
        <v>0.17519999999999999</v>
      </c>
      <c r="Y71" s="5">
        <v>0.15609999999999999</v>
      </c>
      <c r="Z71" s="5">
        <v>0.1</v>
      </c>
      <c r="AA71" s="1">
        <v>0.10199999999999999</v>
      </c>
    </row>
    <row r="72" spans="1:27" x14ac:dyDescent="0.45">
      <c r="A72" s="3" t="s">
        <v>103</v>
      </c>
      <c r="B72" s="1">
        <v>68637.217000000004</v>
      </c>
      <c r="C72" s="1">
        <v>30</v>
      </c>
      <c r="D72" s="5">
        <v>0.35770000000000002</v>
      </c>
      <c r="E72" s="5">
        <v>0.2802</v>
      </c>
      <c r="F72" s="5">
        <v>9.7500000000000003E-2</v>
      </c>
      <c r="G72" s="5">
        <v>0.26240000000000002</v>
      </c>
      <c r="H72" s="5">
        <v>0.23580000000000001</v>
      </c>
      <c r="I72" s="5">
        <v>0.23019999999999999</v>
      </c>
      <c r="J72" s="5">
        <v>0.3145</v>
      </c>
      <c r="K72" s="5">
        <v>0.35270000000000001</v>
      </c>
      <c r="L72" s="5">
        <v>0.32900000000000001</v>
      </c>
      <c r="M72" s="5">
        <v>0.1366</v>
      </c>
      <c r="N72" s="5">
        <v>0.28760000000000002</v>
      </c>
      <c r="O72" s="5">
        <v>0.25159999999999999</v>
      </c>
      <c r="P72" s="5">
        <v>0.1492</v>
      </c>
      <c r="Q72" s="5">
        <v>0.33660000000000001</v>
      </c>
      <c r="R72" s="5">
        <v>0.36859999999999998</v>
      </c>
      <c r="S72" s="5">
        <v>0.39029999999999998</v>
      </c>
      <c r="T72" s="5">
        <v>0.11260000000000001</v>
      </c>
      <c r="U72" s="5">
        <v>0.36420000000000002</v>
      </c>
      <c r="V72" s="5">
        <v>9.7900000000000001E-2</v>
      </c>
      <c r="W72" s="5">
        <v>9.6299999999999997E-2</v>
      </c>
      <c r="X72" s="5">
        <v>0.24540000000000001</v>
      </c>
      <c r="Y72" s="5">
        <v>0.28189999999999998</v>
      </c>
      <c r="Z72" s="5">
        <v>0.1</v>
      </c>
      <c r="AA72" s="1">
        <v>0.1023</v>
      </c>
    </row>
    <row r="73" spans="1:27" x14ac:dyDescent="0.45">
      <c r="A73" s="3" t="s">
        <v>104</v>
      </c>
      <c r="B73" s="1">
        <v>72249.687999999995</v>
      </c>
      <c r="C73" s="1">
        <v>30</v>
      </c>
      <c r="D73" s="5">
        <v>0.3266</v>
      </c>
      <c r="E73" s="5">
        <v>0.29120000000000001</v>
      </c>
      <c r="F73" s="5">
        <v>9.7299999999999998E-2</v>
      </c>
      <c r="G73" s="5">
        <v>0.31840000000000002</v>
      </c>
      <c r="H73" s="5">
        <v>0.2409</v>
      </c>
      <c r="I73" s="5">
        <v>0.23300000000000001</v>
      </c>
      <c r="J73" s="5">
        <v>0.35339999999999999</v>
      </c>
      <c r="K73" s="5">
        <v>0.37080000000000002</v>
      </c>
      <c r="L73" s="5">
        <v>0.3427</v>
      </c>
      <c r="M73" s="5">
        <v>0.12670000000000001</v>
      </c>
      <c r="N73" s="5">
        <v>0.29499999999999998</v>
      </c>
      <c r="O73" s="5">
        <v>0.27</v>
      </c>
      <c r="P73" s="5">
        <v>0.20180000000000001</v>
      </c>
      <c r="Q73" s="5">
        <v>0.30570000000000003</v>
      </c>
      <c r="R73" s="5">
        <v>0.38869999999999999</v>
      </c>
      <c r="S73" s="5">
        <v>0.39729999999999999</v>
      </c>
      <c r="T73" s="5">
        <v>0.27950000000000003</v>
      </c>
      <c r="U73" s="5">
        <v>0.379</v>
      </c>
      <c r="V73" s="5">
        <v>9.7600000000000006E-2</v>
      </c>
      <c r="W73" s="5">
        <v>9.6500000000000002E-2</v>
      </c>
      <c r="X73" s="5">
        <v>0.34960000000000002</v>
      </c>
      <c r="Y73" s="5">
        <v>0.18379999999999999</v>
      </c>
      <c r="Z73" s="5">
        <v>9.98E-2</v>
      </c>
      <c r="AA73" s="1">
        <v>0.1019</v>
      </c>
    </row>
    <row r="74" spans="1:27" x14ac:dyDescent="0.45">
      <c r="A74" s="3" t="s">
        <v>105</v>
      </c>
      <c r="B74" s="1">
        <v>75862.19</v>
      </c>
      <c r="C74" s="1">
        <v>30</v>
      </c>
      <c r="D74" s="5">
        <v>0.35070000000000001</v>
      </c>
      <c r="E74" s="5">
        <v>0.29149999999999998</v>
      </c>
      <c r="F74" s="5">
        <v>9.74E-2</v>
      </c>
      <c r="G74" s="5">
        <v>0.26069999999999999</v>
      </c>
      <c r="H74" s="5">
        <v>0.24859999999999999</v>
      </c>
      <c r="I74" s="5">
        <v>0.26040000000000002</v>
      </c>
      <c r="J74" s="5">
        <v>0.32</v>
      </c>
      <c r="K74" s="5">
        <v>0.33040000000000003</v>
      </c>
      <c r="L74" s="5">
        <v>0.31459999999999999</v>
      </c>
      <c r="M74" s="5">
        <v>0.1295</v>
      </c>
      <c r="N74" s="5">
        <v>0.28339999999999999</v>
      </c>
      <c r="O74" s="5">
        <v>0.27750000000000002</v>
      </c>
      <c r="P74" s="5">
        <v>0.109</v>
      </c>
      <c r="Q74" s="5">
        <v>0.3392</v>
      </c>
      <c r="R74" s="5">
        <v>0.3604</v>
      </c>
      <c r="S74" s="5">
        <v>0.39779999999999999</v>
      </c>
      <c r="T74" s="5">
        <v>0.52049999999999996</v>
      </c>
      <c r="U74" s="5">
        <v>0.37030000000000002</v>
      </c>
      <c r="V74" s="5">
        <v>9.7699999999999995E-2</v>
      </c>
      <c r="W74" s="5">
        <v>9.6299999999999997E-2</v>
      </c>
      <c r="X74" s="5">
        <v>0.35620000000000002</v>
      </c>
      <c r="Y74" s="5">
        <v>0.16200000000000001</v>
      </c>
      <c r="Z74" s="5">
        <v>9.98E-2</v>
      </c>
      <c r="AA74" s="1">
        <v>0.10150000000000001</v>
      </c>
    </row>
    <row r="75" spans="1:27" x14ac:dyDescent="0.45">
      <c r="A75" s="3" t="s">
        <v>106</v>
      </c>
      <c r="B75" s="1">
        <v>79474.634000000005</v>
      </c>
      <c r="C75" s="1">
        <v>30</v>
      </c>
      <c r="D75" s="5">
        <v>0.34589999999999999</v>
      </c>
      <c r="E75" s="5">
        <v>0.30520000000000003</v>
      </c>
      <c r="F75" s="5">
        <v>9.74E-2</v>
      </c>
      <c r="G75" s="5">
        <v>0.26440000000000002</v>
      </c>
      <c r="H75" s="5">
        <v>0.24199999999999999</v>
      </c>
      <c r="I75" s="5">
        <v>0.25069999999999998</v>
      </c>
      <c r="J75" s="5">
        <v>0.38279999999999997</v>
      </c>
      <c r="K75" s="5">
        <v>0.36459999999999998</v>
      </c>
      <c r="L75" s="5">
        <v>0.28539999999999999</v>
      </c>
      <c r="M75" s="5">
        <v>0.1235</v>
      </c>
      <c r="N75" s="5">
        <v>0.34039999999999998</v>
      </c>
      <c r="O75" s="5">
        <v>0.28570000000000001</v>
      </c>
      <c r="P75" s="5">
        <v>0.55100000000000005</v>
      </c>
      <c r="Q75" s="5">
        <v>0.28289999999999998</v>
      </c>
      <c r="R75" s="5">
        <v>0.37119999999999997</v>
      </c>
      <c r="S75" s="5">
        <v>0.4234</v>
      </c>
      <c r="T75" s="5">
        <v>0.1487</v>
      </c>
      <c r="U75" s="5">
        <v>0.47870000000000001</v>
      </c>
      <c r="V75" s="5">
        <v>9.7600000000000006E-2</v>
      </c>
      <c r="W75" s="5">
        <v>0.32040000000000002</v>
      </c>
      <c r="X75" s="5">
        <v>0.34139999999999998</v>
      </c>
      <c r="Y75" s="5">
        <v>0.4511</v>
      </c>
      <c r="Z75" s="5">
        <v>9.98E-2</v>
      </c>
      <c r="AA75" s="1">
        <v>0.1019</v>
      </c>
    </row>
    <row r="76" spans="1:27" x14ac:dyDescent="0.45">
      <c r="A76" s="3" t="s">
        <v>107</v>
      </c>
      <c r="B76" s="1">
        <v>83087.125</v>
      </c>
      <c r="C76" s="1">
        <v>30</v>
      </c>
      <c r="D76" s="5">
        <v>0.34189999999999998</v>
      </c>
      <c r="E76" s="5">
        <v>0.3145</v>
      </c>
      <c r="F76" s="5">
        <v>9.7500000000000003E-2</v>
      </c>
      <c r="G76" s="5">
        <v>0.28839999999999999</v>
      </c>
      <c r="H76" s="5">
        <v>0.26240000000000002</v>
      </c>
      <c r="I76" s="5">
        <v>0.22900000000000001</v>
      </c>
      <c r="J76" s="5">
        <v>0.31569999999999998</v>
      </c>
      <c r="K76" s="5">
        <v>0.3644</v>
      </c>
      <c r="L76" s="5">
        <v>0.26079999999999998</v>
      </c>
      <c r="M76" s="5">
        <v>0.14530000000000001</v>
      </c>
      <c r="N76" s="5">
        <v>0.33489999999999998</v>
      </c>
      <c r="O76" s="5">
        <v>0.31559999999999999</v>
      </c>
      <c r="P76" s="5">
        <v>0.62460000000000004</v>
      </c>
      <c r="Q76" s="5">
        <v>0.40670000000000001</v>
      </c>
      <c r="R76" s="5">
        <v>0.36</v>
      </c>
      <c r="S76" s="5">
        <v>0.3725</v>
      </c>
      <c r="T76" s="5">
        <v>0.17730000000000001</v>
      </c>
      <c r="U76" s="5">
        <v>0.43840000000000001</v>
      </c>
      <c r="V76" s="5">
        <v>9.7600000000000006E-2</v>
      </c>
      <c r="W76" s="5">
        <v>0.1066</v>
      </c>
      <c r="X76" s="5">
        <v>0.38890000000000002</v>
      </c>
      <c r="Y76" s="5">
        <v>0.26529999999999998</v>
      </c>
      <c r="Z76" s="5">
        <v>9.98E-2</v>
      </c>
      <c r="AA76" s="1">
        <v>0.1023</v>
      </c>
    </row>
    <row r="77" spans="1:27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27" x14ac:dyDescent="0.45">
      <c r="A78" s="1" t="s">
        <v>42</v>
      </c>
      <c r="B78" s="1"/>
      <c r="C78" s="1"/>
      <c r="D78" s="1"/>
      <c r="E78" s="1" t="s">
        <v>108</v>
      </c>
      <c r="F78" s="1"/>
      <c r="G78" s="1"/>
      <c r="H78" s="1"/>
      <c r="I78" s="1"/>
      <c r="J78" s="1"/>
      <c r="K78" s="1"/>
    </row>
    <row r="79" spans="1:27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27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BFE7-A8C6-4CB4-9A2A-AF9E54CDA43E}">
  <dimension ref="A1:Z51"/>
  <sheetViews>
    <sheetView tabSelected="1" topLeftCell="R2" zoomScale="116" workbookViewId="0">
      <selection activeCell="Z12" sqref="Z12"/>
    </sheetView>
  </sheetViews>
  <sheetFormatPr defaultRowHeight="14.25" x14ac:dyDescent="0.45"/>
  <sheetData>
    <row r="1" spans="1:26" x14ac:dyDescent="0.45">
      <c r="A1" t="s">
        <v>109</v>
      </c>
      <c r="B1" t="s">
        <v>60</v>
      </c>
      <c r="C1" t="s">
        <v>67</v>
      </c>
      <c r="D1" t="s">
        <v>74</v>
      </c>
      <c r="E1" s="6" t="s">
        <v>110</v>
      </c>
      <c r="F1" t="s">
        <v>112</v>
      </c>
      <c r="G1" t="s">
        <v>61</v>
      </c>
      <c r="H1" t="s">
        <v>68</v>
      </c>
      <c r="I1" t="s">
        <v>75</v>
      </c>
      <c r="J1" s="10" t="s">
        <v>111</v>
      </c>
      <c r="K1" s="9" t="s">
        <v>113</v>
      </c>
      <c r="L1" t="s">
        <v>62</v>
      </c>
      <c r="M1" t="s">
        <v>69</v>
      </c>
      <c r="N1" t="s">
        <v>76</v>
      </c>
      <c r="O1" s="10" t="s">
        <v>114</v>
      </c>
      <c r="P1" s="9" t="s">
        <v>113</v>
      </c>
      <c r="Q1" t="s">
        <v>63</v>
      </c>
      <c r="R1" t="s">
        <v>70</v>
      </c>
      <c r="S1" t="s">
        <v>77</v>
      </c>
      <c r="T1" s="10" t="s">
        <v>115</v>
      </c>
      <c r="U1" s="9" t="s">
        <v>113</v>
      </c>
      <c r="V1" t="s">
        <v>64</v>
      </c>
      <c r="W1" t="s">
        <v>71</v>
      </c>
      <c r="X1" t="s">
        <v>73</v>
      </c>
      <c r="Y1" s="10" t="s">
        <v>116</v>
      </c>
      <c r="Z1" s="9" t="s">
        <v>113</v>
      </c>
    </row>
    <row r="2" spans="1:26" x14ac:dyDescent="0.45">
      <c r="A2">
        <v>1</v>
      </c>
      <c r="B2">
        <v>0.1366</v>
      </c>
      <c r="C2">
        <v>0.15629999999999999</v>
      </c>
      <c r="D2">
        <v>0.16089999999999999</v>
      </c>
      <c r="E2" s="7">
        <f>AVERAGE(B2:D2)</f>
        <v>0.15126666666666666</v>
      </c>
      <c r="G2">
        <v>0.1411</v>
      </c>
      <c r="H2">
        <v>0.15210000000000001</v>
      </c>
      <c r="I2">
        <v>0.16</v>
      </c>
      <c r="J2" s="7">
        <f>AVERAGE(G2:I2)</f>
        <v>0.15106666666666668</v>
      </c>
      <c r="L2">
        <v>0.1343</v>
      </c>
      <c r="M2">
        <v>0.1222</v>
      </c>
      <c r="N2">
        <v>0.15079999999999999</v>
      </c>
      <c r="O2" s="7">
        <f>AVERAGE(L2:N2)</f>
        <v>0.13576666666666667</v>
      </c>
      <c r="Q2">
        <v>0.1111</v>
      </c>
      <c r="R2">
        <v>0.1182</v>
      </c>
      <c r="S2">
        <v>0.1101</v>
      </c>
      <c r="T2" s="7">
        <f>AVERAGE(Q2:S2)</f>
        <v>0.11313333333333335</v>
      </c>
      <c r="V2">
        <v>0.1128</v>
      </c>
      <c r="W2">
        <v>0.1197</v>
      </c>
      <c r="X2">
        <v>0.1145</v>
      </c>
      <c r="Y2" s="7">
        <f>AVERAGE(V2:X2)</f>
        <v>0.11566666666666665</v>
      </c>
    </row>
    <row r="3" spans="1:26" x14ac:dyDescent="0.45">
      <c r="A3">
        <v>2</v>
      </c>
      <c r="B3">
        <v>0.1598</v>
      </c>
      <c r="C3">
        <v>0.15989999999999999</v>
      </c>
      <c r="D3">
        <v>0.1651</v>
      </c>
      <c r="E3" s="7">
        <f t="shared" ref="E3:E25" si="0">AVERAGE(B3:D3)</f>
        <v>0.16159999999999999</v>
      </c>
      <c r="G3">
        <v>0.1326</v>
      </c>
      <c r="H3">
        <v>0.13769999999999999</v>
      </c>
      <c r="I3">
        <v>0.13389999999999999</v>
      </c>
      <c r="J3" s="7">
        <f t="shared" ref="J3:J25" si="1">AVERAGE(G3:I3)</f>
        <v>0.13473333333333334</v>
      </c>
      <c r="L3">
        <v>0.15090000000000001</v>
      </c>
      <c r="M3">
        <v>0.16039999999999999</v>
      </c>
      <c r="N3">
        <v>0.1797</v>
      </c>
      <c r="O3" s="7">
        <f t="shared" ref="O3:O25" si="2">AVERAGE(L3:N3)</f>
        <v>0.16366666666666665</v>
      </c>
      <c r="Q3">
        <v>0.1198</v>
      </c>
      <c r="R3">
        <v>0.1216</v>
      </c>
      <c r="S3">
        <v>0.1153</v>
      </c>
      <c r="T3" s="7">
        <f t="shared" ref="T3:T25" si="3">AVERAGE(Q3:S3)</f>
        <v>0.11890000000000001</v>
      </c>
      <c r="V3">
        <v>0.1222</v>
      </c>
      <c r="W3">
        <v>0.13020000000000001</v>
      </c>
      <c r="X3">
        <v>0.12559999999999999</v>
      </c>
      <c r="Y3" s="7">
        <f t="shared" ref="Y3:Y25" si="4">AVERAGE(V3:X3)</f>
        <v>0.126</v>
      </c>
    </row>
    <row r="4" spans="1:26" x14ac:dyDescent="0.45">
      <c r="A4">
        <v>3</v>
      </c>
      <c r="B4">
        <v>0.1739</v>
      </c>
      <c r="C4">
        <v>0.17469999999999999</v>
      </c>
      <c r="D4">
        <v>0.17979999999999999</v>
      </c>
      <c r="E4" s="7">
        <f t="shared" si="0"/>
        <v>0.17613333333333334</v>
      </c>
      <c r="G4">
        <v>0.13589999999999999</v>
      </c>
      <c r="H4">
        <v>0.1421</v>
      </c>
      <c r="I4">
        <v>0.13539999999999999</v>
      </c>
      <c r="J4" s="7">
        <f t="shared" si="1"/>
        <v>0.13780000000000001</v>
      </c>
      <c r="L4">
        <v>0.15459999999999999</v>
      </c>
      <c r="M4">
        <v>0.16550000000000001</v>
      </c>
      <c r="N4">
        <v>0.17380000000000001</v>
      </c>
      <c r="O4" s="7">
        <f t="shared" si="2"/>
        <v>0.16463333333333333</v>
      </c>
      <c r="Q4">
        <v>0.12809999999999999</v>
      </c>
      <c r="R4">
        <v>0.1431</v>
      </c>
      <c r="S4">
        <v>0.1249</v>
      </c>
      <c r="T4" s="7">
        <f t="shared" si="3"/>
        <v>0.13203333333333334</v>
      </c>
      <c r="V4">
        <v>0.1326</v>
      </c>
      <c r="W4">
        <v>0.13220000000000001</v>
      </c>
      <c r="X4">
        <v>0.1401</v>
      </c>
      <c r="Y4" s="7">
        <f t="shared" si="4"/>
        <v>0.13496666666666668</v>
      </c>
    </row>
    <row r="5" spans="1:26" x14ac:dyDescent="0.45">
      <c r="A5">
        <v>4</v>
      </c>
      <c r="B5">
        <v>0.193</v>
      </c>
      <c r="C5">
        <v>0.19139999999999999</v>
      </c>
      <c r="D5">
        <v>0.2049</v>
      </c>
      <c r="E5" s="7">
        <f t="shared" si="0"/>
        <v>0.19643333333333332</v>
      </c>
      <c r="G5">
        <v>0.14849999999999999</v>
      </c>
      <c r="H5">
        <v>0.15049999999999999</v>
      </c>
      <c r="I5">
        <v>0.14380000000000001</v>
      </c>
      <c r="J5" s="7">
        <f t="shared" si="1"/>
        <v>0.14759999999999998</v>
      </c>
      <c r="L5">
        <v>0.15459999999999999</v>
      </c>
      <c r="M5">
        <v>0.16370000000000001</v>
      </c>
      <c r="N5">
        <v>0.1731</v>
      </c>
      <c r="O5" s="7">
        <f t="shared" si="2"/>
        <v>0.16380000000000003</v>
      </c>
      <c r="Q5">
        <v>0.1303</v>
      </c>
      <c r="R5">
        <v>0.13950000000000001</v>
      </c>
      <c r="S5">
        <v>0.1386</v>
      </c>
      <c r="T5" s="7">
        <f t="shared" si="3"/>
        <v>0.13613333333333336</v>
      </c>
      <c r="V5">
        <v>0.14299999999999999</v>
      </c>
      <c r="W5">
        <v>0.15540000000000001</v>
      </c>
      <c r="X5">
        <v>0.14649999999999999</v>
      </c>
      <c r="Y5" s="7">
        <f t="shared" si="4"/>
        <v>0.14829999999999999</v>
      </c>
    </row>
    <row r="6" spans="1:26" x14ac:dyDescent="0.45">
      <c r="A6">
        <v>5</v>
      </c>
      <c r="B6">
        <v>0.20419999999999999</v>
      </c>
      <c r="C6">
        <v>0.20250000000000001</v>
      </c>
      <c r="D6">
        <v>0.21390000000000001</v>
      </c>
      <c r="E6" s="7">
        <f t="shared" si="0"/>
        <v>0.20686666666666667</v>
      </c>
      <c r="G6">
        <v>0.15040000000000001</v>
      </c>
      <c r="H6">
        <v>0.1547</v>
      </c>
      <c r="I6">
        <v>0.1462</v>
      </c>
      <c r="J6" s="7">
        <f t="shared" si="1"/>
        <v>0.15043333333333334</v>
      </c>
      <c r="L6">
        <v>0.1749</v>
      </c>
      <c r="M6">
        <v>0.1769</v>
      </c>
      <c r="N6">
        <v>0.19139999999999999</v>
      </c>
      <c r="O6" s="7">
        <f t="shared" si="2"/>
        <v>0.18106666666666668</v>
      </c>
      <c r="Q6">
        <v>0.14949999999999999</v>
      </c>
      <c r="R6">
        <v>0.1658</v>
      </c>
      <c r="S6">
        <v>0.14419999999999999</v>
      </c>
      <c r="T6" s="7">
        <f t="shared" si="3"/>
        <v>0.15316666666666667</v>
      </c>
      <c r="V6">
        <v>0.1469</v>
      </c>
      <c r="W6">
        <v>0.15340000000000001</v>
      </c>
      <c r="X6">
        <v>0.161</v>
      </c>
      <c r="Y6" s="7">
        <f t="shared" si="4"/>
        <v>0.15376666666666669</v>
      </c>
    </row>
    <row r="7" spans="1:26" x14ac:dyDescent="0.45">
      <c r="A7">
        <v>6</v>
      </c>
      <c r="B7">
        <v>0.21740000000000001</v>
      </c>
      <c r="C7">
        <v>0.21990000000000001</v>
      </c>
      <c r="D7">
        <v>0.2263</v>
      </c>
      <c r="E7" s="7">
        <f t="shared" si="0"/>
        <v>0.22119999999999998</v>
      </c>
      <c r="G7">
        <v>0.16189999999999999</v>
      </c>
      <c r="H7">
        <v>0.1585</v>
      </c>
      <c r="I7">
        <v>0.15989999999999999</v>
      </c>
      <c r="J7" s="7">
        <f t="shared" si="1"/>
        <v>0.16009999999999999</v>
      </c>
      <c r="L7">
        <v>0.19370000000000001</v>
      </c>
      <c r="M7">
        <v>0.16270000000000001</v>
      </c>
      <c r="N7">
        <v>0.184</v>
      </c>
      <c r="O7" s="7">
        <f t="shared" si="2"/>
        <v>0.18013333333333334</v>
      </c>
      <c r="Q7">
        <v>0.15840000000000001</v>
      </c>
      <c r="R7">
        <v>0.16120000000000001</v>
      </c>
      <c r="S7">
        <v>0.14990000000000001</v>
      </c>
      <c r="T7" s="7">
        <f t="shared" si="3"/>
        <v>0.1565</v>
      </c>
      <c r="V7">
        <v>0.15179999999999999</v>
      </c>
      <c r="W7">
        <v>0.16600000000000001</v>
      </c>
      <c r="X7">
        <v>0.21299999999999999</v>
      </c>
      <c r="Y7" s="7">
        <f t="shared" si="4"/>
        <v>0.1769333333333333</v>
      </c>
    </row>
    <row r="8" spans="1:26" x14ac:dyDescent="0.45">
      <c r="A8">
        <v>7</v>
      </c>
      <c r="B8">
        <v>0.24060000000000001</v>
      </c>
      <c r="C8">
        <v>0.22450000000000001</v>
      </c>
      <c r="D8">
        <v>0.23569999999999999</v>
      </c>
      <c r="E8" s="7">
        <f t="shared" si="0"/>
        <v>0.2336</v>
      </c>
      <c r="G8">
        <v>0.17460000000000001</v>
      </c>
      <c r="H8">
        <v>0.1787</v>
      </c>
      <c r="I8">
        <v>0.17549999999999999</v>
      </c>
      <c r="J8" s="7">
        <f t="shared" si="1"/>
        <v>0.17626666666666665</v>
      </c>
      <c r="L8">
        <v>0.15959999999999999</v>
      </c>
      <c r="M8">
        <v>0.16830000000000001</v>
      </c>
      <c r="N8">
        <v>0.1971</v>
      </c>
      <c r="O8" s="7">
        <f t="shared" si="2"/>
        <v>0.17499999999999996</v>
      </c>
      <c r="Q8">
        <v>0.17510000000000001</v>
      </c>
      <c r="R8">
        <v>0.17399999999999999</v>
      </c>
      <c r="S8">
        <v>0.15989999999999999</v>
      </c>
      <c r="T8" s="7">
        <f t="shared" si="3"/>
        <v>0.16966666666666663</v>
      </c>
      <c r="V8">
        <v>0.16980000000000001</v>
      </c>
      <c r="W8">
        <v>0.16259999999999999</v>
      </c>
      <c r="X8">
        <v>0.1691</v>
      </c>
      <c r="Y8" s="7">
        <f t="shared" si="4"/>
        <v>0.16716666666666669</v>
      </c>
    </row>
    <row r="9" spans="1:26" x14ac:dyDescent="0.45">
      <c r="A9">
        <v>8</v>
      </c>
      <c r="B9">
        <v>0.27489999999999998</v>
      </c>
      <c r="C9">
        <v>0.27910000000000001</v>
      </c>
      <c r="D9">
        <v>0.26979999999999998</v>
      </c>
      <c r="E9" s="7">
        <f t="shared" si="0"/>
        <v>0.27460000000000001</v>
      </c>
      <c r="G9">
        <v>0.18160000000000001</v>
      </c>
      <c r="H9">
        <v>0.18709999999999999</v>
      </c>
      <c r="I9">
        <v>0.17860000000000001</v>
      </c>
      <c r="J9" s="7">
        <f t="shared" si="1"/>
        <v>0.18243333333333334</v>
      </c>
      <c r="L9">
        <v>0.14710000000000001</v>
      </c>
      <c r="M9">
        <v>0.17510000000000001</v>
      </c>
      <c r="N9">
        <v>0.14230000000000001</v>
      </c>
      <c r="O9" s="7">
        <f t="shared" si="2"/>
        <v>0.15483333333333335</v>
      </c>
      <c r="Q9">
        <v>0.16589999999999999</v>
      </c>
      <c r="R9">
        <v>0.15310000000000001</v>
      </c>
      <c r="S9">
        <v>0.16689999999999999</v>
      </c>
      <c r="T9" s="7">
        <f t="shared" si="3"/>
        <v>0.16196666666666668</v>
      </c>
      <c r="V9">
        <v>0.19400000000000001</v>
      </c>
      <c r="W9">
        <v>0.18090000000000001</v>
      </c>
      <c r="X9">
        <v>0.19439999999999999</v>
      </c>
      <c r="Y9" s="7">
        <f t="shared" si="4"/>
        <v>0.18976666666666667</v>
      </c>
    </row>
    <row r="10" spans="1:26" x14ac:dyDescent="0.45">
      <c r="A10">
        <v>9</v>
      </c>
      <c r="B10">
        <v>0.2833</v>
      </c>
      <c r="C10">
        <v>0.28499999999999998</v>
      </c>
      <c r="D10">
        <v>0.29870000000000002</v>
      </c>
      <c r="E10" s="7">
        <f t="shared" si="0"/>
        <v>0.28899999999999998</v>
      </c>
      <c r="G10">
        <v>0.19040000000000001</v>
      </c>
      <c r="H10">
        <v>0.19489999999999999</v>
      </c>
      <c r="I10">
        <v>0.20280000000000001</v>
      </c>
      <c r="J10" s="7">
        <f t="shared" si="1"/>
        <v>0.19603333333333331</v>
      </c>
      <c r="L10">
        <v>0.11559999999999999</v>
      </c>
      <c r="M10">
        <v>0.17810000000000001</v>
      </c>
      <c r="N10">
        <v>0.12189999999999999</v>
      </c>
      <c r="O10" s="7">
        <f t="shared" si="2"/>
        <v>0.13853333333333334</v>
      </c>
      <c r="Q10">
        <v>0.186</v>
      </c>
      <c r="R10">
        <v>0.158</v>
      </c>
      <c r="S10">
        <v>0.19389999999999999</v>
      </c>
      <c r="T10" s="7">
        <f t="shared" si="3"/>
        <v>0.17929999999999999</v>
      </c>
      <c r="V10">
        <v>0.18099999999999999</v>
      </c>
      <c r="W10">
        <v>0.21790000000000001</v>
      </c>
      <c r="X10">
        <v>0.2046</v>
      </c>
      <c r="Y10" s="7">
        <f t="shared" si="4"/>
        <v>0.20116666666666669</v>
      </c>
    </row>
    <row r="11" spans="1:26" x14ac:dyDescent="0.45">
      <c r="A11">
        <v>10</v>
      </c>
      <c r="B11">
        <v>0.30869999999999997</v>
      </c>
      <c r="C11">
        <v>0.30309999999999998</v>
      </c>
      <c r="D11">
        <v>0.31580000000000003</v>
      </c>
      <c r="E11" s="7">
        <f t="shared" si="0"/>
        <v>0.30919999999999997</v>
      </c>
      <c r="G11">
        <v>0.2014</v>
      </c>
      <c r="H11">
        <v>0.22209999999999999</v>
      </c>
      <c r="I11">
        <v>0.218</v>
      </c>
      <c r="J11" s="7">
        <f t="shared" si="1"/>
        <v>0.21383333333333332</v>
      </c>
      <c r="L11">
        <v>0.1229</v>
      </c>
      <c r="M11">
        <v>0.20180000000000001</v>
      </c>
      <c r="N11">
        <v>0.15709999999999999</v>
      </c>
      <c r="O11" s="7">
        <f t="shared" si="2"/>
        <v>0.16059999999999999</v>
      </c>
      <c r="Q11">
        <v>0.192</v>
      </c>
      <c r="R11">
        <v>0.20300000000000001</v>
      </c>
      <c r="S11">
        <v>0.2082</v>
      </c>
      <c r="T11" s="7">
        <f t="shared" si="3"/>
        <v>0.20106666666666664</v>
      </c>
      <c r="V11">
        <v>0.191</v>
      </c>
      <c r="W11">
        <v>0.19409999999999999</v>
      </c>
      <c r="X11">
        <v>0.2079</v>
      </c>
      <c r="Y11" s="7">
        <f t="shared" si="4"/>
        <v>0.19766666666666666</v>
      </c>
    </row>
    <row r="12" spans="1:26" x14ac:dyDescent="0.45">
      <c r="A12">
        <v>11</v>
      </c>
      <c r="B12">
        <v>0.32750000000000001</v>
      </c>
      <c r="C12">
        <v>0.30580000000000002</v>
      </c>
      <c r="D12">
        <v>0.33</v>
      </c>
      <c r="E12" s="7">
        <f t="shared" si="0"/>
        <v>0.3211</v>
      </c>
      <c r="G12">
        <v>0.22819999999999999</v>
      </c>
      <c r="H12">
        <v>0.22409999999999999</v>
      </c>
      <c r="I12">
        <v>0.23</v>
      </c>
      <c r="J12" s="7">
        <f t="shared" si="1"/>
        <v>0.22743333333333335</v>
      </c>
      <c r="L12">
        <v>9.7799999999999998E-2</v>
      </c>
      <c r="M12">
        <v>0.14849999999999999</v>
      </c>
      <c r="N12">
        <v>9.8299999999999998E-2</v>
      </c>
      <c r="O12" s="7">
        <f t="shared" si="2"/>
        <v>0.11486666666666667</v>
      </c>
      <c r="Q12">
        <v>0.1852</v>
      </c>
      <c r="R12">
        <v>0.19040000000000001</v>
      </c>
      <c r="S12">
        <v>0.18540000000000001</v>
      </c>
      <c r="T12" s="7">
        <f t="shared" si="3"/>
        <v>0.18700000000000003</v>
      </c>
      <c r="V12">
        <v>0.19289999999999999</v>
      </c>
      <c r="W12">
        <v>0.21129999999999999</v>
      </c>
      <c r="X12">
        <v>0.19800000000000001</v>
      </c>
      <c r="Y12" s="7">
        <f t="shared" si="4"/>
        <v>0.20073333333333335</v>
      </c>
    </row>
    <row r="13" spans="1:26" x14ac:dyDescent="0.45">
      <c r="A13">
        <v>12</v>
      </c>
      <c r="B13">
        <v>0.33239999999999997</v>
      </c>
      <c r="C13">
        <v>0.33040000000000003</v>
      </c>
      <c r="D13">
        <v>0.38090000000000002</v>
      </c>
      <c r="E13" s="7">
        <f t="shared" si="0"/>
        <v>0.34790000000000004</v>
      </c>
      <c r="G13">
        <v>0.2382</v>
      </c>
      <c r="H13">
        <v>0.25009999999999999</v>
      </c>
      <c r="I13">
        <v>0.2374</v>
      </c>
      <c r="J13" s="7">
        <f t="shared" si="1"/>
        <v>0.2419</v>
      </c>
      <c r="L13">
        <v>0.111</v>
      </c>
      <c r="M13">
        <v>0.1517</v>
      </c>
      <c r="N13">
        <v>9.7699999999999995E-2</v>
      </c>
      <c r="O13" s="7">
        <f t="shared" si="2"/>
        <v>0.12013333333333333</v>
      </c>
      <c r="Q13">
        <v>0.1983</v>
      </c>
      <c r="R13">
        <v>0.22120000000000001</v>
      </c>
      <c r="S13">
        <v>0.2324</v>
      </c>
      <c r="T13" s="7">
        <f t="shared" si="3"/>
        <v>0.21729999999999997</v>
      </c>
      <c r="V13">
        <v>0.1938</v>
      </c>
      <c r="W13">
        <v>0.21609999999999999</v>
      </c>
      <c r="X13">
        <v>0.217</v>
      </c>
      <c r="Y13" s="7">
        <f t="shared" si="4"/>
        <v>0.20896666666666666</v>
      </c>
    </row>
    <row r="14" spans="1:26" x14ac:dyDescent="0.45">
      <c r="A14">
        <v>13</v>
      </c>
      <c r="B14">
        <v>0.34610000000000002</v>
      </c>
      <c r="C14">
        <v>0.35780000000000001</v>
      </c>
      <c r="D14">
        <v>0.4108</v>
      </c>
      <c r="E14" s="7">
        <f t="shared" si="0"/>
        <v>0.37156666666666666</v>
      </c>
      <c r="G14">
        <v>0.23760000000000001</v>
      </c>
      <c r="H14">
        <v>0.26219999999999999</v>
      </c>
      <c r="I14">
        <v>0.25440000000000002</v>
      </c>
      <c r="J14" s="7">
        <f t="shared" si="1"/>
        <v>0.25140000000000001</v>
      </c>
      <c r="L14">
        <v>9.74E-2</v>
      </c>
      <c r="M14">
        <v>0.16919999999999999</v>
      </c>
      <c r="N14">
        <v>9.7500000000000003E-2</v>
      </c>
      <c r="O14" s="7">
        <f t="shared" si="2"/>
        <v>0.12136666666666666</v>
      </c>
      <c r="Q14">
        <v>0.21540000000000001</v>
      </c>
      <c r="R14">
        <v>0.218</v>
      </c>
      <c r="S14">
        <v>0.25480000000000003</v>
      </c>
      <c r="T14" s="7">
        <f t="shared" si="3"/>
        <v>0.22940000000000002</v>
      </c>
      <c r="V14">
        <v>0.22</v>
      </c>
      <c r="W14">
        <v>0.2051</v>
      </c>
      <c r="X14">
        <v>0.2281</v>
      </c>
      <c r="Y14" s="7">
        <f t="shared" si="4"/>
        <v>0.21773333333333333</v>
      </c>
    </row>
    <row r="15" spans="1:26" x14ac:dyDescent="0.45">
      <c r="A15">
        <v>14</v>
      </c>
      <c r="B15">
        <v>0.34889999999999999</v>
      </c>
      <c r="C15">
        <v>0.36230000000000001</v>
      </c>
      <c r="D15">
        <v>0.43030000000000002</v>
      </c>
      <c r="E15" s="7">
        <f t="shared" si="0"/>
        <v>0.38050000000000006</v>
      </c>
      <c r="G15">
        <v>0.26960000000000001</v>
      </c>
      <c r="H15">
        <v>0.26119999999999999</v>
      </c>
      <c r="I15">
        <v>0.2802</v>
      </c>
      <c r="J15" s="7">
        <f t="shared" si="1"/>
        <v>0.27033333333333331</v>
      </c>
      <c r="L15">
        <v>9.74E-2</v>
      </c>
      <c r="M15">
        <v>0.17230000000000001</v>
      </c>
      <c r="N15">
        <v>9.9599999999999994E-2</v>
      </c>
      <c r="O15" s="7">
        <f t="shared" si="2"/>
        <v>0.12309999999999999</v>
      </c>
      <c r="Q15">
        <v>0.21990000000000001</v>
      </c>
      <c r="R15">
        <v>0.24340000000000001</v>
      </c>
      <c r="S15">
        <v>0.26829999999999998</v>
      </c>
      <c r="T15" s="7">
        <f t="shared" si="3"/>
        <v>0.24386666666666668</v>
      </c>
      <c r="V15">
        <v>0.21460000000000001</v>
      </c>
      <c r="W15">
        <v>0.2051</v>
      </c>
      <c r="X15">
        <v>0.25800000000000001</v>
      </c>
      <c r="Y15" s="7">
        <f t="shared" si="4"/>
        <v>0.22589999999999999</v>
      </c>
    </row>
    <row r="16" spans="1:26" x14ac:dyDescent="0.45">
      <c r="A16">
        <v>15</v>
      </c>
      <c r="B16">
        <v>0.34470000000000001</v>
      </c>
      <c r="C16">
        <v>0.36159999999999998</v>
      </c>
      <c r="D16">
        <v>0.45250000000000001</v>
      </c>
      <c r="E16" s="7">
        <f t="shared" si="0"/>
        <v>0.38626666666666659</v>
      </c>
      <c r="G16">
        <v>0.27529999999999999</v>
      </c>
      <c r="H16">
        <v>0.27960000000000002</v>
      </c>
      <c r="I16">
        <v>0.2727</v>
      </c>
      <c r="J16" s="7">
        <f t="shared" si="1"/>
        <v>0.27586666666666665</v>
      </c>
      <c r="L16">
        <v>9.7500000000000003E-2</v>
      </c>
      <c r="M16">
        <v>0.13109999999999999</v>
      </c>
      <c r="N16">
        <v>9.7900000000000001E-2</v>
      </c>
      <c r="O16" s="7">
        <f t="shared" si="2"/>
        <v>0.10883333333333334</v>
      </c>
      <c r="Q16">
        <v>0.2419</v>
      </c>
      <c r="R16">
        <v>0.25309999999999999</v>
      </c>
      <c r="S16">
        <v>0.2717</v>
      </c>
      <c r="T16" s="7">
        <f t="shared" si="3"/>
        <v>0.25556666666666666</v>
      </c>
      <c r="V16">
        <v>0.2185</v>
      </c>
      <c r="W16">
        <v>0.24229999999999999</v>
      </c>
      <c r="X16">
        <v>0.25650000000000001</v>
      </c>
      <c r="Y16" s="7">
        <f t="shared" si="4"/>
        <v>0.23910000000000001</v>
      </c>
    </row>
    <row r="17" spans="1:25" x14ac:dyDescent="0.45">
      <c r="A17">
        <v>16</v>
      </c>
      <c r="B17">
        <v>0.35220000000000001</v>
      </c>
      <c r="C17">
        <v>0.35880000000000001</v>
      </c>
      <c r="D17">
        <v>0.44230000000000003</v>
      </c>
      <c r="E17" s="7">
        <f t="shared" si="0"/>
        <v>0.3844333333333334</v>
      </c>
      <c r="G17">
        <v>0.26529999999999998</v>
      </c>
      <c r="H17">
        <v>0.30349999999999999</v>
      </c>
      <c r="I17">
        <v>0.31240000000000001</v>
      </c>
      <c r="J17" s="7">
        <f t="shared" si="1"/>
        <v>0.29373333333333335</v>
      </c>
      <c r="L17">
        <v>9.74E-2</v>
      </c>
      <c r="M17">
        <v>0.1769</v>
      </c>
      <c r="N17">
        <v>0.1212</v>
      </c>
      <c r="O17" s="7">
        <f t="shared" si="2"/>
        <v>0.13183333333333333</v>
      </c>
      <c r="Q17">
        <v>0.25319999999999998</v>
      </c>
      <c r="R17">
        <v>0.2676</v>
      </c>
      <c r="S17">
        <v>0.35589999999999999</v>
      </c>
      <c r="T17" s="7">
        <f t="shared" si="3"/>
        <v>0.29223333333333329</v>
      </c>
      <c r="V17">
        <v>0.23769999999999999</v>
      </c>
      <c r="W17">
        <v>0.23580000000000001</v>
      </c>
      <c r="X17">
        <v>0.24740000000000001</v>
      </c>
      <c r="Y17" s="7">
        <f t="shared" si="4"/>
        <v>0.24030000000000004</v>
      </c>
    </row>
    <row r="18" spans="1:25" x14ac:dyDescent="0.45">
      <c r="A18">
        <v>17</v>
      </c>
      <c r="B18">
        <v>0.379</v>
      </c>
      <c r="C18">
        <v>0.34789999999999999</v>
      </c>
      <c r="D18">
        <v>0.41310000000000002</v>
      </c>
      <c r="E18" s="7">
        <f t="shared" si="0"/>
        <v>0.38000000000000006</v>
      </c>
      <c r="G18">
        <v>0.26600000000000001</v>
      </c>
      <c r="H18">
        <v>0.29780000000000001</v>
      </c>
      <c r="I18">
        <v>0.31830000000000003</v>
      </c>
      <c r="J18" s="7">
        <f t="shared" si="1"/>
        <v>0.29403333333333337</v>
      </c>
      <c r="L18">
        <v>9.74E-2</v>
      </c>
      <c r="M18">
        <v>0.15</v>
      </c>
      <c r="N18">
        <v>0.1111</v>
      </c>
      <c r="O18" s="7">
        <f t="shared" si="2"/>
        <v>0.11950000000000001</v>
      </c>
      <c r="Q18">
        <v>0.25829999999999997</v>
      </c>
      <c r="R18">
        <v>0.25779999999999997</v>
      </c>
      <c r="S18">
        <v>0.31130000000000002</v>
      </c>
      <c r="T18" s="7">
        <f t="shared" si="3"/>
        <v>0.27579999999999999</v>
      </c>
      <c r="V18">
        <v>0.24510000000000001</v>
      </c>
      <c r="W18">
        <v>0.23530000000000001</v>
      </c>
      <c r="X18">
        <v>0.31900000000000001</v>
      </c>
      <c r="Y18" s="7">
        <f t="shared" si="4"/>
        <v>0.26646666666666668</v>
      </c>
    </row>
    <row r="19" spans="1:25" x14ac:dyDescent="0.45">
      <c r="A19">
        <v>18</v>
      </c>
      <c r="B19">
        <v>0.32319999999999999</v>
      </c>
      <c r="C19">
        <v>0.3548</v>
      </c>
      <c r="D19">
        <v>0.4108</v>
      </c>
      <c r="E19" s="7">
        <f t="shared" si="0"/>
        <v>0.36293333333333333</v>
      </c>
      <c r="G19">
        <v>0.26869999999999999</v>
      </c>
      <c r="H19">
        <v>0.31869999999999998</v>
      </c>
      <c r="I19">
        <v>0.23680000000000001</v>
      </c>
      <c r="J19" s="7">
        <f t="shared" si="1"/>
        <v>0.27473333333333333</v>
      </c>
      <c r="L19">
        <v>9.7500000000000003E-2</v>
      </c>
      <c r="M19">
        <v>0.1192</v>
      </c>
      <c r="N19">
        <v>9.8000000000000004E-2</v>
      </c>
      <c r="O19" s="7">
        <f t="shared" si="2"/>
        <v>0.10489999999999999</v>
      </c>
      <c r="Q19">
        <v>0.2417</v>
      </c>
      <c r="R19">
        <v>0.27800000000000002</v>
      </c>
      <c r="S19">
        <v>0.37609999999999999</v>
      </c>
      <c r="T19" s="7">
        <f t="shared" si="3"/>
        <v>0.29860000000000003</v>
      </c>
      <c r="V19">
        <v>0.2379</v>
      </c>
      <c r="W19">
        <v>0.23630000000000001</v>
      </c>
      <c r="X19">
        <v>0.3196</v>
      </c>
      <c r="Y19" s="7">
        <f t="shared" si="4"/>
        <v>0.2646</v>
      </c>
    </row>
    <row r="20" spans="1:25" x14ac:dyDescent="0.45">
      <c r="A20">
        <v>19</v>
      </c>
      <c r="B20">
        <v>0.3367</v>
      </c>
      <c r="C20">
        <v>0.3619</v>
      </c>
      <c r="D20">
        <v>0.39229999999999998</v>
      </c>
      <c r="E20" s="7">
        <f t="shared" si="0"/>
        <v>0.36363333333333331</v>
      </c>
      <c r="G20">
        <v>0.26169999999999999</v>
      </c>
      <c r="H20">
        <v>0.32100000000000001</v>
      </c>
      <c r="I20">
        <v>0.36020000000000002</v>
      </c>
      <c r="J20" s="7">
        <f t="shared" si="1"/>
        <v>0.31430000000000002</v>
      </c>
      <c r="L20">
        <v>9.7299999999999998E-2</v>
      </c>
      <c r="M20">
        <v>9.74E-2</v>
      </c>
      <c r="N20">
        <v>0.112</v>
      </c>
      <c r="O20" s="7">
        <f t="shared" si="2"/>
        <v>0.10223333333333333</v>
      </c>
      <c r="Q20">
        <v>0.2641</v>
      </c>
      <c r="R20">
        <v>0.29149999999999998</v>
      </c>
      <c r="S20">
        <v>0.3392</v>
      </c>
      <c r="T20" s="7">
        <f t="shared" si="3"/>
        <v>0.29826666666666668</v>
      </c>
      <c r="V20">
        <v>0.23599999999999999</v>
      </c>
      <c r="W20">
        <v>0.2364</v>
      </c>
      <c r="X20">
        <v>0.31240000000000001</v>
      </c>
      <c r="Y20" s="7">
        <f t="shared" si="4"/>
        <v>0.2616</v>
      </c>
    </row>
    <row r="21" spans="1:25" x14ac:dyDescent="0.45">
      <c r="A21">
        <v>20</v>
      </c>
      <c r="B21">
        <v>0.35770000000000002</v>
      </c>
      <c r="C21">
        <v>0.35270000000000001</v>
      </c>
      <c r="D21">
        <v>0.36859999999999998</v>
      </c>
      <c r="E21" s="7">
        <f t="shared" si="0"/>
        <v>0.35966666666666663</v>
      </c>
      <c r="G21">
        <v>0.2802</v>
      </c>
      <c r="H21">
        <v>0.32900000000000001</v>
      </c>
      <c r="I21">
        <v>0.39029999999999998</v>
      </c>
      <c r="J21" s="7">
        <f t="shared" si="1"/>
        <v>0.33316666666666667</v>
      </c>
      <c r="L21">
        <v>9.7500000000000003E-2</v>
      </c>
      <c r="M21">
        <v>0.1366</v>
      </c>
      <c r="N21">
        <v>0.11260000000000001</v>
      </c>
      <c r="O21" s="7">
        <f t="shared" si="2"/>
        <v>0.11556666666666666</v>
      </c>
      <c r="Q21">
        <v>0.26240000000000002</v>
      </c>
      <c r="R21">
        <v>0.28760000000000002</v>
      </c>
      <c r="S21">
        <v>0.36420000000000002</v>
      </c>
      <c r="T21" s="7">
        <f t="shared" si="3"/>
        <v>0.30473333333333336</v>
      </c>
      <c r="V21">
        <v>0.23580000000000001</v>
      </c>
      <c r="W21">
        <v>0.25159999999999999</v>
      </c>
      <c r="X21">
        <v>0.33660000000000001</v>
      </c>
      <c r="Y21" s="7">
        <f t="shared" si="4"/>
        <v>0.27466666666666667</v>
      </c>
    </row>
    <row r="22" spans="1:25" x14ac:dyDescent="0.45">
      <c r="A22">
        <v>21</v>
      </c>
      <c r="B22">
        <v>0.3266</v>
      </c>
      <c r="C22">
        <v>0.37080000000000002</v>
      </c>
      <c r="D22">
        <v>0.38869999999999999</v>
      </c>
      <c r="E22" s="7">
        <f t="shared" si="0"/>
        <v>0.36203333333333337</v>
      </c>
      <c r="G22">
        <v>0.29120000000000001</v>
      </c>
      <c r="H22">
        <v>0.3427</v>
      </c>
      <c r="I22">
        <v>0.39729999999999999</v>
      </c>
      <c r="J22" s="7">
        <f t="shared" si="1"/>
        <v>0.34373333333333339</v>
      </c>
      <c r="L22">
        <v>9.7299999999999998E-2</v>
      </c>
      <c r="M22">
        <v>0.12670000000000001</v>
      </c>
      <c r="N22">
        <v>0.27950000000000003</v>
      </c>
      <c r="O22" s="7">
        <f t="shared" si="2"/>
        <v>0.16783333333333336</v>
      </c>
      <c r="Q22">
        <v>0.31840000000000002</v>
      </c>
      <c r="R22">
        <v>0.29499999999999998</v>
      </c>
      <c r="S22">
        <v>0.379</v>
      </c>
      <c r="T22" s="7">
        <f t="shared" si="3"/>
        <v>0.33079999999999998</v>
      </c>
      <c r="V22">
        <v>0.2409</v>
      </c>
      <c r="W22">
        <v>0.27</v>
      </c>
      <c r="X22">
        <v>0.30570000000000003</v>
      </c>
      <c r="Y22" s="7">
        <f t="shared" si="4"/>
        <v>0.2722</v>
      </c>
    </row>
    <row r="23" spans="1:25" x14ac:dyDescent="0.45">
      <c r="A23">
        <v>22</v>
      </c>
      <c r="B23">
        <v>0.35070000000000001</v>
      </c>
      <c r="C23">
        <v>0.33040000000000003</v>
      </c>
      <c r="D23">
        <v>0.3604</v>
      </c>
      <c r="E23" s="7">
        <f t="shared" si="0"/>
        <v>0.34716666666666668</v>
      </c>
      <c r="G23">
        <v>0.29149999999999998</v>
      </c>
      <c r="H23">
        <v>0.31459999999999999</v>
      </c>
      <c r="I23">
        <v>0.39779999999999999</v>
      </c>
      <c r="J23" s="7">
        <f t="shared" si="1"/>
        <v>0.33463333333333334</v>
      </c>
      <c r="L23">
        <v>9.74E-2</v>
      </c>
      <c r="M23">
        <v>0.1295</v>
      </c>
      <c r="N23">
        <v>0.52049999999999996</v>
      </c>
      <c r="O23" s="7">
        <f t="shared" si="2"/>
        <v>0.24913333333333332</v>
      </c>
      <c r="Q23">
        <v>0.26069999999999999</v>
      </c>
      <c r="R23">
        <v>0.28339999999999999</v>
      </c>
      <c r="S23">
        <v>0.37030000000000002</v>
      </c>
      <c r="T23" s="7">
        <f t="shared" si="3"/>
        <v>0.30480000000000002</v>
      </c>
      <c r="V23">
        <v>0.24859999999999999</v>
      </c>
      <c r="W23">
        <v>0.27750000000000002</v>
      </c>
      <c r="X23">
        <v>0.3392</v>
      </c>
      <c r="Y23" s="7">
        <f t="shared" si="4"/>
        <v>0.28843333333333332</v>
      </c>
    </row>
    <row r="24" spans="1:25" x14ac:dyDescent="0.45">
      <c r="A24">
        <v>23</v>
      </c>
      <c r="B24">
        <v>0.34589999999999999</v>
      </c>
      <c r="C24">
        <v>0.36459999999999998</v>
      </c>
      <c r="D24">
        <v>0.37119999999999997</v>
      </c>
      <c r="E24" s="7">
        <f t="shared" si="0"/>
        <v>0.36056666666666665</v>
      </c>
      <c r="G24">
        <v>0.30520000000000003</v>
      </c>
      <c r="H24">
        <v>0.28539999999999999</v>
      </c>
      <c r="I24">
        <v>0.4234</v>
      </c>
      <c r="J24" s="7">
        <f t="shared" si="1"/>
        <v>0.33800000000000002</v>
      </c>
      <c r="L24">
        <v>9.74E-2</v>
      </c>
      <c r="M24">
        <v>0.1235</v>
      </c>
      <c r="N24">
        <v>0.1487</v>
      </c>
      <c r="O24" s="7">
        <f t="shared" si="2"/>
        <v>0.12319999999999999</v>
      </c>
      <c r="Q24">
        <v>0.26440000000000002</v>
      </c>
      <c r="R24">
        <v>0.34039999999999998</v>
      </c>
      <c r="S24">
        <v>0.47870000000000001</v>
      </c>
      <c r="T24" s="7">
        <f t="shared" si="3"/>
        <v>0.36116666666666664</v>
      </c>
      <c r="V24">
        <v>0.24199999999999999</v>
      </c>
      <c r="W24">
        <v>0.28570000000000001</v>
      </c>
      <c r="X24">
        <v>0.28289999999999998</v>
      </c>
      <c r="Y24" s="7">
        <f t="shared" si="4"/>
        <v>0.2702</v>
      </c>
    </row>
    <row r="25" spans="1:25" ht="14.65" thickBot="1" x14ac:dyDescent="0.5">
      <c r="A25">
        <v>24</v>
      </c>
      <c r="B25">
        <v>0.34189999999999998</v>
      </c>
      <c r="C25">
        <v>0.3644</v>
      </c>
      <c r="D25">
        <v>0.36</v>
      </c>
      <c r="E25" s="8">
        <f t="shared" si="0"/>
        <v>0.35543333333333332</v>
      </c>
      <c r="G25">
        <v>0.3145</v>
      </c>
      <c r="H25">
        <v>0.26079999999999998</v>
      </c>
      <c r="I25">
        <v>0.3725</v>
      </c>
      <c r="J25" s="8">
        <f t="shared" si="1"/>
        <v>0.31593333333333334</v>
      </c>
      <c r="L25">
        <v>9.7500000000000003E-2</v>
      </c>
      <c r="M25">
        <v>0.14530000000000001</v>
      </c>
      <c r="N25">
        <v>0.17730000000000001</v>
      </c>
      <c r="O25" s="8">
        <f t="shared" si="2"/>
        <v>0.14003333333333334</v>
      </c>
      <c r="Q25">
        <v>0.28839999999999999</v>
      </c>
      <c r="R25">
        <v>0.33489999999999998</v>
      </c>
      <c r="S25">
        <v>0.43840000000000001</v>
      </c>
      <c r="T25" s="8">
        <f t="shared" si="3"/>
        <v>0.35390000000000005</v>
      </c>
      <c r="V25">
        <v>0.26240000000000002</v>
      </c>
      <c r="W25">
        <v>0.31559999999999999</v>
      </c>
      <c r="X25">
        <v>0.40670000000000001</v>
      </c>
      <c r="Y25" s="8">
        <f t="shared" si="4"/>
        <v>0.32823333333333338</v>
      </c>
    </row>
    <row r="26" spans="1:25" ht="14.65" thickBot="1" x14ac:dyDescent="0.5"/>
    <row r="27" spans="1:25" x14ac:dyDescent="0.45">
      <c r="B27" t="s">
        <v>65</v>
      </c>
      <c r="C27" t="s">
        <v>66</v>
      </c>
      <c r="D27" t="s">
        <v>80</v>
      </c>
      <c r="E27" s="10" t="s">
        <v>117</v>
      </c>
      <c r="G27" t="s">
        <v>72</v>
      </c>
      <c r="H27" t="s">
        <v>79</v>
      </c>
      <c r="I27" t="s">
        <v>81</v>
      </c>
      <c r="J27" s="10" t="s">
        <v>118</v>
      </c>
      <c r="L27" t="s">
        <v>78</v>
      </c>
      <c r="M27" t="s">
        <v>82</v>
      </c>
      <c r="N27" t="s">
        <v>83</v>
      </c>
      <c r="O27" s="10" t="s">
        <v>119</v>
      </c>
    </row>
    <row r="28" spans="1:25" x14ac:dyDescent="0.45">
      <c r="B28">
        <v>0.127</v>
      </c>
      <c r="C28">
        <v>0.1149</v>
      </c>
      <c r="D28">
        <v>0.14280000000000001</v>
      </c>
      <c r="E28" s="7">
        <f>AVERAGE(B28:D28)</f>
        <v>0.12823333333333334</v>
      </c>
      <c r="G28">
        <v>0.16470000000000001</v>
      </c>
      <c r="H28">
        <v>0.1138</v>
      </c>
      <c r="I28">
        <v>0.1052</v>
      </c>
      <c r="J28" s="7">
        <f>AVERAGE(G28:I28)</f>
        <v>0.12790000000000001</v>
      </c>
      <c r="L28">
        <v>0.1016</v>
      </c>
      <c r="M28">
        <v>0.1079</v>
      </c>
      <c r="N28">
        <v>9.9199999999999997E-2</v>
      </c>
      <c r="O28" s="7">
        <f>AVERAGE(L28:N28)</f>
        <v>0.10289999999999999</v>
      </c>
    </row>
    <row r="29" spans="1:25" x14ac:dyDescent="0.45">
      <c r="B29">
        <v>0.16300000000000001</v>
      </c>
      <c r="C29">
        <v>0.18090000000000001</v>
      </c>
      <c r="D29">
        <v>0.189</v>
      </c>
      <c r="E29" s="7">
        <f t="shared" ref="E29:E51" si="5">AVERAGE(B29:D29)</f>
        <v>0.17763333333333331</v>
      </c>
      <c r="G29">
        <v>9.9500000000000005E-2</v>
      </c>
      <c r="H29">
        <v>0.1196</v>
      </c>
      <c r="I29">
        <v>0.1139</v>
      </c>
      <c r="J29" s="7">
        <f t="shared" ref="J29:J51" si="6">AVERAGE(G29:I29)</f>
        <v>0.111</v>
      </c>
      <c r="L29">
        <v>9.7600000000000006E-2</v>
      </c>
      <c r="M29">
        <v>0.1042</v>
      </c>
      <c r="N29">
        <v>9.5399999999999999E-2</v>
      </c>
      <c r="O29" s="7">
        <f t="shared" ref="O29:O51" si="7">AVERAGE(L29:N29)</f>
        <v>9.9066666666666678E-2</v>
      </c>
    </row>
    <row r="30" spans="1:25" x14ac:dyDescent="0.45">
      <c r="B30">
        <v>0.1641</v>
      </c>
      <c r="C30">
        <v>0.19350000000000001</v>
      </c>
      <c r="D30">
        <v>0.18909999999999999</v>
      </c>
      <c r="E30" s="7">
        <f t="shared" si="5"/>
        <v>0.18223333333333333</v>
      </c>
      <c r="G30">
        <v>0.1111</v>
      </c>
      <c r="H30">
        <v>0.11509999999999999</v>
      </c>
      <c r="I30">
        <v>0.1663</v>
      </c>
      <c r="J30" s="7">
        <f t="shared" si="6"/>
        <v>0.13083333333333333</v>
      </c>
      <c r="L30">
        <v>9.7699999999999995E-2</v>
      </c>
      <c r="M30">
        <v>9.9500000000000005E-2</v>
      </c>
      <c r="N30">
        <v>9.4899999999999998E-2</v>
      </c>
      <c r="O30" s="7">
        <f t="shared" si="7"/>
        <v>9.7366666666666657E-2</v>
      </c>
    </row>
    <row r="31" spans="1:25" x14ac:dyDescent="0.45">
      <c r="B31">
        <v>0.16009999999999999</v>
      </c>
      <c r="C31">
        <v>0.18809999999999999</v>
      </c>
      <c r="D31">
        <v>0.20830000000000001</v>
      </c>
      <c r="E31" s="7">
        <f t="shared" si="5"/>
        <v>0.1855</v>
      </c>
      <c r="G31">
        <v>0.1159</v>
      </c>
      <c r="H31">
        <v>0.11409999999999999</v>
      </c>
      <c r="I31">
        <v>0.1229</v>
      </c>
      <c r="J31" s="7">
        <f t="shared" si="6"/>
        <v>0.11763333333333333</v>
      </c>
      <c r="L31">
        <v>9.7799999999999998E-2</v>
      </c>
      <c r="M31">
        <v>9.9900000000000003E-2</v>
      </c>
      <c r="N31">
        <v>9.5100000000000004E-2</v>
      </c>
      <c r="O31" s="7">
        <f t="shared" si="7"/>
        <v>9.7600000000000006E-2</v>
      </c>
    </row>
    <row r="32" spans="1:25" x14ac:dyDescent="0.45">
      <c r="B32">
        <v>0.1429</v>
      </c>
      <c r="C32">
        <v>0.22950000000000001</v>
      </c>
      <c r="D32">
        <v>0.19950000000000001</v>
      </c>
      <c r="E32" s="7">
        <f t="shared" si="5"/>
        <v>0.19063333333333335</v>
      </c>
      <c r="G32">
        <v>0.1203</v>
      </c>
      <c r="H32">
        <v>0.1119</v>
      </c>
      <c r="I32">
        <v>0.114</v>
      </c>
      <c r="J32" s="7">
        <f t="shared" si="6"/>
        <v>0.1154</v>
      </c>
      <c r="L32">
        <v>9.7600000000000006E-2</v>
      </c>
      <c r="M32">
        <v>9.98E-2</v>
      </c>
      <c r="N32">
        <v>0.14649999999999999</v>
      </c>
      <c r="O32" s="7">
        <f t="shared" si="7"/>
        <v>0.11463333333333332</v>
      </c>
    </row>
    <row r="33" spans="2:15" x14ac:dyDescent="0.45">
      <c r="B33">
        <v>0.1736</v>
      </c>
      <c r="C33">
        <v>0.2132</v>
      </c>
      <c r="D33">
        <v>0.23930000000000001</v>
      </c>
      <c r="E33" s="7">
        <f t="shared" si="5"/>
        <v>0.20870000000000002</v>
      </c>
      <c r="G33">
        <v>0.1104</v>
      </c>
      <c r="H33">
        <v>0.13850000000000001</v>
      </c>
      <c r="I33">
        <v>0.1171</v>
      </c>
      <c r="J33" s="7">
        <f t="shared" si="6"/>
        <v>0.122</v>
      </c>
      <c r="L33">
        <v>9.7799999999999998E-2</v>
      </c>
      <c r="M33">
        <v>9.9900000000000003E-2</v>
      </c>
      <c r="N33">
        <v>0.13500000000000001</v>
      </c>
      <c r="O33" s="7">
        <f t="shared" si="7"/>
        <v>0.1109</v>
      </c>
    </row>
    <row r="34" spans="2:15" x14ac:dyDescent="0.45">
      <c r="B34">
        <v>0.20699999999999999</v>
      </c>
      <c r="C34">
        <v>0.2213</v>
      </c>
      <c r="D34">
        <v>0.26369999999999999</v>
      </c>
      <c r="E34" s="7">
        <f t="shared" si="5"/>
        <v>0.23066666666666666</v>
      </c>
      <c r="G34">
        <v>0.1072</v>
      </c>
      <c r="H34">
        <v>0.1242</v>
      </c>
      <c r="I34">
        <v>0.13639999999999999</v>
      </c>
      <c r="J34" s="7">
        <f t="shared" si="6"/>
        <v>0.1226</v>
      </c>
      <c r="L34">
        <v>9.8000000000000004E-2</v>
      </c>
      <c r="M34">
        <v>9.9500000000000005E-2</v>
      </c>
      <c r="N34">
        <v>0.1017</v>
      </c>
      <c r="O34" s="7">
        <f t="shared" si="7"/>
        <v>9.973333333333334E-2</v>
      </c>
    </row>
    <row r="35" spans="2:15" x14ac:dyDescent="0.45">
      <c r="B35">
        <v>0.1961</v>
      </c>
      <c r="C35">
        <v>0.25869999999999999</v>
      </c>
      <c r="D35">
        <v>0.31569999999999998</v>
      </c>
      <c r="E35" s="7">
        <f t="shared" si="5"/>
        <v>0.2568333333333333</v>
      </c>
      <c r="G35">
        <v>0.1245</v>
      </c>
      <c r="H35">
        <v>0.1268</v>
      </c>
      <c r="I35">
        <v>0.11550000000000001</v>
      </c>
      <c r="J35" s="7">
        <f t="shared" si="6"/>
        <v>0.12226666666666665</v>
      </c>
      <c r="L35">
        <v>9.7699999999999995E-2</v>
      </c>
      <c r="M35">
        <v>9.9900000000000003E-2</v>
      </c>
      <c r="N35">
        <v>0.10489999999999999</v>
      </c>
      <c r="O35" s="7">
        <f t="shared" si="7"/>
        <v>0.10083333333333333</v>
      </c>
    </row>
    <row r="36" spans="2:15" x14ac:dyDescent="0.45">
      <c r="B36">
        <v>0.21229999999999999</v>
      </c>
      <c r="C36">
        <v>0.21049999999999999</v>
      </c>
      <c r="D36">
        <v>0.27760000000000001</v>
      </c>
      <c r="E36" s="7">
        <f t="shared" si="5"/>
        <v>0.23346666666666663</v>
      </c>
      <c r="G36">
        <v>0.13270000000000001</v>
      </c>
      <c r="H36">
        <v>0.1273</v>
      </c>
      <c r="I36">
        <v>0.1656</v>
      </c>
      <c r="J36" s="7">
        <f t="shared" si="6"/>
        <v>0.14186666666666667</v>
      </c>
      <c r="L36">
        <v>9.7699999999999995E-2</v>
      </c>
      <c r="M36">
        <v>9.9900000000000003E-2</v>
      </c>
      <c r="N36">
        <v>0.1061</v>
      </c>
      <c r="O36" s="7">
        <f t="shared" si="7"/>
        <v>0.10123333333333333</v>
      </c>
    </row>
    <row r="37" spans="2:15" x14ac:dyDescent="0.45">
      <c r="B37">
        <v>0.20610000000000001</v>
      </c>
      <c r="C37">
        <v>0.27610000000000001</v>
      </c>
      <c r="D37">
        <v>0.28420000000000001</v>
      </c>
      <c r="E37" s="7">
        <f t="shared" si="5"/>
        <v>0.25546666666666668</v>
      </c>
      <c r="G37">
        <v>0.12379999999999999</v>
      </c>
      <c r="H37">
        <v>0.14050000000000001</v>
      </c>
      <c r="I37">
        <v>0.16600000000000001</v>
      </c>
      <c r="J37" s="7">
        <f t="shared" si="6"/>
        <v>0.14343333333333333</v>
      </c>
      <c r="L37">
        <v>9.7799999999999998E-2</v>
      </c>
      <c r="M37">
        <v>9.98E-2</v>
      </c>
      <c r="N37">
        <v>0.104</v>
      </c>
      <c r="O37" s="7">
        <f t="shared" si="7"/>
        <v>0.10053333333333332</v>
      </c>
    </row>
    <row r="38" spans="2:15" x14ac:dyDescent="0.45">
      <c r="B38">
        <v>0.17780000000000001</v>
      </c>
      <c r="C38">
        <v>0.2319</v>
      </c>
      <c r="D38">
        <v>0.2601</v>
      </c>
      <c r="E38" s="7">
        <f t="shared" si="5"/>
        <v>0.22326666666666664</v>
      </c>
      <c r="G38">
        <v>0.11509999999999999</v>
      </c>
      <c r="H38">
        <v>0.15110000000000001</v>
      </c>
      <c r="I38">
        <v>0.15329999999999999</v>
      </c>
      <c r="J38" s="7">
        <f t="shared" si="6"/>
        <v>0.13983333333333334</v>
      </c>
      <c r="L38">
        <v>9.7900000000000001E-2</v>
      </c>
      <c r="M38">
        <v>9.9900000000000003E-2</v>
      </c>
      <c r="N38">
        <v>0.1036</v>
      </c>
      <c r="O38" s="7">
        <f t="shared" si="7"/>
        <v>0.10046666666666666</v>
      </c>
    </row>
    <row r="39" spans="2:15" x14ac:dyDescent="0.45">
      <c r="B39">
        <v>0.20230000000000001</v>
      </c>
      <c r="C39">
        <v>0.28289999999999998</v>
      </c>
      <c r="D39">
        <v>0.36249999999999999</v>
      </c>
      <c r="E39" s="7">
        <f t="shared" si="5"/>
        <v>0.28256666666666663</v>
      </c>
      <c r="G39">
        <v>0.1484</v>
      </c>
      <c r="H39">
        <v>0.1656</v>
      </c>
      <c r="I39">
        <v>0.14069999999999999</v>
      </c>
      <c r="J39" s="7">
        <f t="shared" si="6"/>
        <v>0.15156666666666666</v>
      </c>
      <c r="L39">
        <v>9.7699999999999995E-2</v>
      </c>
      <c r="M39">
        <v>9.98E-2</v>
      </c>
      <c r="N39">
        <v>0.1026</v>
      </c>
      <c r="O39" s="7">
        <f t="shared" si="7"/>
        <v>0.10003333333333335</v>
      </c>
    </row>
    <row r="40" spans="2:15" x14ac:dyDescent="0.45">
      <c r="B40">
        <v>0.23619999999999999</v>
      </c>
      <c r="C40">
        <v>0.31740000000000002</v>
      </c>
      <c r="D40">
        <v>0.36499999999999999</v>
      </c>
      <c r="E40" s="7">
        <f t="shared" si="5"/>
        <v>0.30619999999999997</v>
      </c>
      <c r="G40">
        <v>0.1231</v>
      </c>
      <c r="H40">
        <v>0.1479</v>
      </c>
      <c r="I40">
        <v>0.13819999999999999</v>
      </c>
      <c r="J40" s="7">
        <f t="shared" si="6"/>
        <v>0.13639999999999999</v>
      </c>
      <c r="L40">
        <v>9.8000000000000004E-2</v>
      </c>
      <c r="M40">
        <v>0.1</v>
      </c>
      <c r="N40">
        <v>0.1028</v>
      </c>
      <c r="O40" s="7">
        <f t="shared" si="7"/>
        <v>0.10026666666666667</v>
      </c>
    </row>
    <row r="41" spans="2:15" x14ac:dyDescent="0.45">
      <c r="B41">
        <v>0.18479999999999999</v>
      </c>
      <c r="C41">
        <v>0.26590000000000003</v>
      </c>
      <c r="D41">
        <v>0.2994</v>
      </c>
      <c r="E41" s="7">
        <f t="shared" si="5"/>
        <v>0.25003333333333333</v>
      </c>
      <c r="G41">
        <v>0.13500000000000001</v>
      </c>
      <c r="H41">
        <v>0.20280000000000001</v>
      </c>
      <c r="I41">
        <v>0.15359999999999999</v>
      </c>
      <c r="J41" s="7">
        <f t="shared" si="6"/>
        <v>0.16379999999999997</v>
      </c>
      <c r="L41">
        <v>9.7699999999999995E-2</v>
      </c>
      <c r="M41">
        <v>0.10009999999999999</v>
      </c>
      <c r="N41">
        <v>0.1026</v>
      </c>
      <c r="O41" s="7">
        <f t="shared" si="7"/>
        <v>0.10013333333333334</v>
      </c>
    </row>
    <row r="42" spans="2:15" x14ac:dyDescent="0.45">
      <c r="B42">
        <v>0.2082</v>
      </c>
      <c r="C42">
        <v>0.311</v>
      </c>
      <c r="D42">
        <v>0.27610000000000001</v>
      </c>
      <c r="E42" s="7">
        <f t="shared" si="5"/>
        <v>0.2651</v>
      </c>
      <c r="G42">
        <v>0.16839999999999999</v>
      </c>
      <c r="H42">
        <v>0.18049999999999999</v>
      </c>
      <c r="I42">
        <v>0.16830000000000001</v>
      </c>
      <c r="J42" s="7">
        <f t="shared" si="6"/>
        <v>0.1724</v>
      </c>
      <c r="L42">
        <v>9.7500000000000003E-2</v>
      </c>
      <c r="M42">
        <v>9.9900000000000003E-2</v>
      </c>
      <c r="N42">
        <v>0.1023</v>
      </c>
      <c r="O42" s="7">
        <f t="shared" si="7"/>
        <v>9.9900000000000003E-2</v>
      </c>
    </row>
    <row r="43" spans="2:15" x14ac:dyDescent="0.45">
      <c r="B43">
        <v>0.2137</v>
      </c>
      <c r="C43">
        <v>0.36899999999999999</v>
      </c>
      <c r="D43">
        <v>0.31109999999999999</v>
      </c>
      <c r="E43" s="7">
        <f t="shared" si="5"/>
        <v>0.29793333333333333</v>
      </c>
      <c r="G43">
        <v>0.1951</v>
      </c>
      <c r="H43">
        <v>0.15870000000000001</v>
      </c>
      <c r="I43">
        <v>0.13400000000000001</v>
      </c>
      <c r="J43" s="7">
        <f t="shared" si="6"/>
        <v>0.16259999999999999</v>
      </c>
      <c r="L43">
        <v>9.7799999999999998E-2</v>
      </c>
      <c r="M43">
        <v>9.98E-2</v>
      </c>
      <c r="N43">
        <v>0.10249999999999999</v>
      </c>
      <c r="O43" s="7">
        <f t="shared" si="7"/>
        <v>0.10003333333333332</v>
      </c>
    </row>
    <row r="44" spans="2:15" x14ac:dyDescent="0.45">
      <c r="B44">
        <v>0.23119999999999999</v>
      </c>
      <c r="C44">
        <v>0.29299999999999998</v>
      </c>
      <c r="D44">
        <v>0.30780000000000002</v>
      </c>
      <c r="E44" s="7">
        <f t="shared" si="5"/>
        <v>0.27733333333333338</v>
      </c>
      <c r="G44">
        <v>0.17649999999999999</v>
      </c>
      <c r="H44">
        <v>0.1615</v>
      </c>
      <c r="I44">
        <v>0.16969999999999999</v>
      </c>
      <c r="J44" s="7">
        <f t="shared" si="6"/>
        <v>0.16923333333333332</v>
      </c>
      <c r="L44">
        <v>9.7799999999999998E-2</v>
      </c>
      <c r="M44">
        <v>9.9900000000000003E-2</v>
      </c>
      <c r="N44">
        <v>0.1021</v>
      </c>
      <c r="O44" s="7">
        <f t="shared" si="7"/>
        <v>9.9933333333333318E-2</v>
      </c>
    </row>
    <row r="45" spans="2:15" x14ac:dyDescent="0.45">
      <c r="B45">
        <v>0.2263</v>
      </c>
      <c r="C45">
        <v>0.29060000000000002</v>
      </c>
      <c r="D45">
        <v>0.24529999999999999</v>
      </c>
      <c r="E45" s="7">
        <f t="shared" si="5"/>
        <v>0.25406666666666666</v>
      </c>
      <c r="G45">
        <v>0.38369999999999999</v>
      </c>
      <c r="H45">
        <v>0.1129</v>
      </c>
      <c r="I45">
        <v>0.1603</v>
      </c>
      <c r="J45" s="7">
        <f t="shared" si="6"/>
        <v>0.21896666666666667</v>
      </c>
      <c r="L45">
        <v>9.7600000000000006E-2</v>
      </c>
      <c r="M45">
        <v>0.1</v>
      </c>
      <c r="N45">
        <v>0.1022</v>
      </c>
      <c r="O45" s="7">
        <f t="shared" si="7"/>
        <v>9.9933333333333332E-2</v>
      </c>
    </row>
    <row r="46" spans="2:15" x14ac:dyDescent="0.45">
      <c r="B46">
        <v>0.1996</v>
      </c>
      <c r="C46">
        <v>0.27150000000000002</v>
      </c>
      <c r="D46">
        <v>0.17519999999999999</v>
      </c>
      <c r="E46" s="7">
        <f t="shared" si="5"/>
        <v>0.21543333333333334</v>
      </c>
      <c r="G46">
        <v>0.19350000000000001</v>
      </c>
      <c r="H46">
        <v>9.6299999999999997E-2</v>
      </c>
      <c r="I46">
        <v>0.15609999999999999</v>
      </c>
      <c r="J46" s="7">
        <f t="shared" si="6"/>
        <v>0.14863333333333331</v>
      </c>
      <c r="L46">
        <v>9.7600000000000006E-2</v>
      </c>
      <c r="M46">
        <v>0.1</v>
      </c>
      <c r="N46">
        <v>0.10199999999999999</v>
      </c>
      <c r="O46" s="7">
        <f t="shared" si="7"/>
        <v>9.9866666666666659E-2</v>
      </c>
    </row>
    <row r="47" spans="2:15" x14ac:dyDescent="0.45">
      <c r="B47">
        <v>0.23019999999999999</v>
      </c>
      <c r="C47">
        <v>0.3145</v>
      </c>
      <c r="D47">
        <v>0.24540000000000001</v>
      </c>
      <c r="E47" s="7">
        <f t="shared" si="5"/>
        <v>0.26336666666666669</v>
      </c>
      <c r="G47">
        <v>0.1492</v>
      </c>
      <c r="H47">
        <v>9.6299999999999997E-2</v>
      </c>
      <c r="I47">
        <v>0.28189999999999998</v>
      </c>
      <c r="J47" s="7">
        <f t="shared" si="6"/>
        <v>0.17579999999999998</v>
      </c>
      <c r="L47">
        <v>9.7900000000000001E-2</v>
      </c>
      <c r="M47">
        <v>0.1</v>
      </c>
      <c r="N47">
        <v>0.1023</v>
      </c>
      <c r="O47" s="7">
        <f t="shared" si="7"/>
        <v>0.10006666666666668</v>
      </c>
    </row>
    <row r="48" spans="2:15" x14ac:dyDescent="0.45">
      <c r="B48">
        <v>0.23300000000000001</v>
      </c>
      <c r="C48">
        <v>0.35339999999999999</v>
      </c>
      <c r="D48">
        <v>0.34960000000000002</v>
      </c>
      <c r="E48" s="7">
        <f t="shared" si="5"/>
        <v>0.312</v>
      </c>
      <c r="G48">
        <v>0.20180000000000001</v>
      </c>
      <c r="H48">
        <v>9.6500000000000002E-2</v>
      </c>
      <c r="I48">
        <v>0.18379999999999999</v>
      </c>
      <c r="J48" s="7">
        <f t="shared" si="6"/>
        <v>0.16069999999999998</v>
      </c>
      <c r="L48">
        <v>9.7600000000000006E-2</v>
      </c>
      <c r="M48">
        <v>9.98E-2</v>
      </c>
      <c r="N48">
        <v>0.1019</v>
      </c>
      <c r="O48" s="7">
        <f t="shared" si="7"/>
        <v>9.976666666666667E-2</v>
      </c>
    </row>
    <row r="49" spans="2:15" x14ac:dyDescent="0.45">
      <c r="B49">
        <v>0.26040000000000002</v>
      </c>
      <c r="C49">
        <v>0.32</v>
      </c>
      <c r="D49">
        <v>0.35620000000000002</v>
      </c>
      <c r="E49" s="7">
        <f t="shared" si="5"/>
        <v>0.31220000000000003</v>
      </c>
      <c r="G49">
        <v>0.109</v>
      </c>
      <c r="H49">
        <v>9.6299999999999997E-2</v>
      </c>
      <c r="I49">
        <v>0.16200000000000001</v>
      </c>
      <c r="J49" s="7">
        <f t="shared" si="6"/>
        <v>0.12243333333333332</v>
      </c>
      <c r="L49">
        <v>9.7699999999999995E-2</v>
      </c>
      <c r="M49">
        <v>9.98E-2</v>
      </c>
      <c r="N49">
        <v>0.10150000000000001</v>
      </c>
      <c r="O49" s="7">
        <f t="shared" si="7"/>
        <v>9.9666666666666681E-2</v>
      </c>
    </row>
    <row r="50" spans="2:15" x14ac:dyDescent="0.45">
      <c r="B50">
        <v>0.25069999999999998</v>
      </c>
      <c r="C50">
        <v>0.38279999999999997</v>
      </c>
      <c r="D50">
        <v>0.34139999999999998</v>
      </c>
      <c r="E50" s="7">
        <f t="shared" si="5"/>
        <v>0.32496666666666663</v>
      </c>
      <c r="G50">
        <v>0.55100000000000005</v>
      </c>
      <c r="H50">
        <v>0.32040000000000002</v>
      </c>
      <c r="I50">
        <v>0.4511</v>
      </c>
      <c r="J50" s="7">
        <f t="shared" si="6"/>
        <v>0.44083333333333335</v>
      </c>
      <c r="L50">
        <v>9.7600000000000006E-2</v>
      </c>
      <c r="M50">
        <v>9.98E-2</v>
      </c>
      <c r="N50">
        <v>0.1019</v>
      </c>
      <c r="O50" s="7">
        <f t="shared" si="7"/>
        <v>9.976666666666667E-2</v>
      </c>
    </row>
    <row r="51" spans="2:15" ht="14.65" thickBot="1" x14ac:dyDescent="0.5">
      <c r="B51">
        <v>0.22900000000000001</v>
      </c>
      <c r="C51">
        <v>0.31569999999999998</v>
      </c>
      <c r="D51">
        <v>0.38890000000000002</v>
      </c>
      <c r="E51" s="8">
        <f t="shared" si="5"/>
        <v>0.31119999999999998</v>
      </c>
      <c r="G51">
        <v>0.62460000000000004</v>
      </c>
      <c r="H51">
        <v>0.1066</v>
      </c>
      <c r="I51">
        <v>0.26529999999999998</v>
      </c>
      <c r="J51" s="8">
        <f t="shared" si="6"/>
        <v>0.33216666666666667</v>
      </c>
      <c r="L51">
        <v>9.7600000000000006E-2</v>
      </c>
      <c r="M51">
        <v>9.98E-2</v>
      </c>
      <c r="N51">
        <v>0.1023</v>
      </c>
      <c r="O51" s="8">
        <f t="shared" si="7"/>
        <v>9.9900000000000003E-2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sheet</vt:lpstr>
      <vt:lpstr>Compiled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Silja Vahtokari</cp:lastModifiedBy>
  <dcterms:created xsi:type="dcterms:W3CDTF">2025-07-18T11:05:33Z</dcterms:created>
  <dcterms:modified xsi:type="dcterms:W3CDTF">2025-07-25T08:50:34Z</dcterms:modified>
</cp:coreProperties>
</file>