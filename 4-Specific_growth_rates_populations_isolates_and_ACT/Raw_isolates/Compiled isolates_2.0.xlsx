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Data/Growth curves/Isolates/"/>
    </mc:Choice>
  </mc:AlternateContent>
  <xr:revisionPtr revIDLastSave="28" documentId="8_{C7E0940A-4C1B-4E4C-86A9-CD224EF0C7DC}" xr6:coauthVersionLast="47" xr6:coauthVersionMax="47" xr10:uidLastSave="{F06199F2-23AB-48E8-937C-4BE79CF6E711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" i="1" l="1"/>
  <c r="J53" i="1"/>
  <c r="J52" i="1"/>
  <c r="G52" i="1"/>
  <c r="G53" i="1"/>
  <c r="G54" i="1"/>
  <c r="F52" i="1"/>
  <c r="F53" i="1"/>
  <c r="F54" i="1"/>
  <c r="G50" i="1"/>
  <c r="G51" i="1"/>
  <c r="F50" i="1"/>
  <c r="F51" i="1"/>
  <c r="F36" i="1"/>
  <c r="J36" i="1" s="1"/>
  <c r="F37" i="1"/>
  <c r="F38" i="1"/>
  <c r="J38" i="1" s="1"/>
  <c r="F39" i="1"/>
  <c r="F40" i="1"/>
  <c r="J40" i="1" s="1"/>
  <c r="F41" i="1"/>
  <c r="F42" i="1"/>
  <c r="F43" i="1"/>
  <c r="F44" i="1"/>
  <c r="F45" i="1"/>
  <c r="F46" i="1"/>
  <c r="F47" i="1"/>
  <c r="F48" i="1"/>
  <c r="F49" i="1"/>
  <c r="J49" i="1" s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9" i="1"/>
  <c r="G30" i="1"/>
  <c r="G31" i="1"/>
  <c r="G32" i="1"/>
  <c r="G33" i="1"/>
  <c r="G34" i="1"/>
  <c r="G35" i="1"/>
  <c r="F28" i="1"/>
  <c r="F29" i="1"/>
  <c r="F30" i="1"/>
  <c r="J30" i="1" s="1"/>
  <c r="F31" i="1"/>
  <c r="F32" i="1"/>
  <c r="J32" i="1" s="1"/>
  <c r="F33" i="1"/>
  <c r="F34" i="1"/>
  <c r="J34" i="1" s="1"/>
  <c r="F35" i="1"/>
  <c r="F11" i="1"/>
  <c r="J11" i="1" s="1"/>
  <c r="F12" i="1"/>
  <c r="F13" i="1"/>
  <c r="F14" i="1"/>
  <c r="F15" i="1"/>
  <c r="F16" i="1"/>
  <c r="F17" i="1"/>
  <c r="J17" i="1" s="1"/>
  <c r="F18" i="1"/>
  <c r="J18" i="1" s="1"/>
  <c r="F19" i="1"/>
  <c r="J19" i="1" s="1"/>
  <c r="F20" i="1"/>
  <c r="J20" i="1" s="1"/>
  <c r="F21" i="1"/>
  <c r="F22" i="1"/>
  <c r="F23" i="1"/>
  <c r="F24" i="1"/>
  <c r="F25" i="1"/>
  <c r="F26" i="1"/>
  <c r="F27" i="1"/>
  <c r="J27" i="1" s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J28" i="1" s="1"/>
  <c r="G10" i="1"/>
  <c r="F10" i="1"/>
  <c r="J10" i="1"/>
  <c r="G8" i="1"/>
  <c r="G9" i="1"/>
  <c r="F8" i="1"/>
  <c r="F9" i="1"/>
  <c r="G3" i="1"/>
  <c r="G4" i="1"/>
  <c r="G5" i="1"/>
  <c r="G6" i="1"/>
  <c r="G7" i="1"/>
  <c r="G2" i="1"/>
  <c r="F3" i="1"/>
  <c r="F4" i="1"/>
  <c r="F5" i="1"/>
  <c r="F6" i="1"/>
  <c r="F7" i="1"/>
  <c r="F2" i="1"/>
  <c r="J2" i="1" s="1"/>
  <c r="J31" i="1" l="1"/>
  <c r="J37" i="1"/>
  <c r="J50" i="1"/>
  <c r="J29" i="1"/>
  <c r="J42" i="1"/>
  <c r="J51" i="1"/>
  <c r="J48" i="1"/>
  <c r="J47" i="1"/>
  <c r="J46" i="1"/>
  <c r="J45" i="1"/>
  <c r="J44" i="1"/>
  <c r="J43" i="1"/>
  <c r="J41" i="1"/>
  <c r="J39" i="1"/>
  <c r="J35" i="1"/>
  <c r="J33" i="1"/>
  <c r="J26" i="1"/>
  <c r="J25" i="1"/>
  <c r="J24" i="1"/>
  <c r="J23" i="1"/>
  <c r="J22" i="1"/>
  <c r="J21" i="1"/>
  <c r="J15" i="1"/>
  <c r="J14" i="1"/>
  <c r="J16" i="1"/>
  <c r="J13" i="1"/>
  <c r="J12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<sst xmlns="http://schemas.openxmlformats.org/spreadsheetml/2006/main" count="64" uniqueCount="15">
  <si>
    <t xml:space="preserve">Line </t>
  </si>
  <si>
    <t>Triplicate #</t>
  </si>
  <si>
    <t>Generation</t>
  </si>
  <si>
    <t>µ</t>
  </si>
  <si>
    <t>OD2</t>
  </si>
  <si>
    <t>OD1</t>
  </si>
  <si>
    <t>t2</t>
  </si>
  <si>
    <t>t1</t>
  </si>
  <si>
    <t>lnOD2</t>
  </si>
  <si>
    <t>lnOD1</t>
  </si>
  <si>
    <t>Y2</t>
  </si>
  <si>
    <t>Y3</t>
  </si>
  <si>
    <t>Y1</t>
  </si>
  <si>
    <t>Isolate number</t>
  </si>
  <si>
    <t>M1152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</si>
</sst>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µ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Sheet1!$C$2:$C$54</c:f>
              <c:numCache>
                <c:formatCode>General</c:formatCode>
                <c:ptCount val="53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3000</c:v>
                </c:pt>
                <c:pt idx="17">
                  <c:v>3000</c:v>
                </c:pt>
                <c:pt idx="18">
                  <c:v>3000</c:v>
                </c:pt>
                <c:pt idx="19">
                  <c:v>3000</c:v>
                </c:pt>
                <c:pt idx="20">
                  <c:v>3000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3000</c:v>
                </c:pt>
                <c:pt idx="46">
                  <c:v>3000</c:v>
                </c:pt>
                <c:pt idx="47">
                  <c:v>3000</c:v>
                </c:pt>
                <c:pt idx="48">
                  <c:v>1000</c:v>
                </c:pt>
                <c:pt idx="49">
                  <c:v>1000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xVal>
          <c:yVal>
            <c:numRef>
              <c:f>Sheet1!$J$2:$J$54</c:f>
              <c:numCache>
                <c:formatCode>General</c:formatCode>
                <c:ptCount val="53"/>
                <c:pt idx="0">
                  <c:v>4.1526461969273586E-2</c:v>
                </c:pt>
                <c:pt idx="1">
                  <c:v>4.5209412277450282E-2</c:v>
                </c:pt>
                <c:pt idx="2">
                  <c:v>5.3494987919246603E-2</c:v>
                </c:pt>
                <c:pt idx="3">
                  <c:v>4.455634671725657E-2</c:v>
                </c:pt>
                <c:pt idx="4">
                  <c:v>6.2617355836185648E-2</c:v>
                </c:pt>
                <c:pt idx="5">
                  <c:v>7.9315514937245868E-2</c:v>
                </c:pt>
                <c:pt idx="6">
                  <c:v>5.8147136597711618E-2</c:v>
                </c:pt>
                <c:pt idx="7">
                  <c:v>7.1765228942100023E-2</c:v>
                </c:pt>
                <c:pt idx="8">
                  <c:v>6.3549521809543943E-2</c:v>
                </c:pt>
                <c:pt idx="9">
                  <c:v>4.7798346550347169E-2</c:v>
                </c:pt>
                <c:pt idx="10">
                  <c:v>4.7871184238773484E-2</c:v>
                </c:pt>
                <c:pt idx="11">
                  <c:v>4.8213891635277721E-2</c:v>
                </c:pt>
                <c:pt idx="12">
                  <c:v>7.7472566958717418E-2</c:v>
                </c:pt>
                <c:pt idx="13">
                  <c:v>6.9016411137265657E-2</c:v>
                </c:pt>
                <c:pt idx="14">
                  <c:v>5.9133525107199159E-2</c:v>
                </c:pt>
                <c:pt idx="15">
                  <c:v>5.3350749305638899E-2</c:v>
                </c:pt>
                <c:pt idx="16">
                  <c:v>5.5578122926456953E-2</c:v>
                </c:pt>
                <c:pt idx="17">
                  <c:v>5.438618304136289E-2</c:v>
                </c:pt>
                <c:pt idx="18">
                  <c:v>6.4522105193119142E-2</c:v>
                </c:pt>
                <c:pt idx="19">
                  <c:v>4.8503121966881779E-2</c:v>
                </c:pt>
                <c:pt idx="20">
                  <c:v>4.215160766990398E-2</c:v>
                </c:pt>
                <c:pt idx="21">
                  <c:v>4.7207304334993025E-2</c:v>
                </c:pt>
                <c:pt idx="22">
                  <c:v>3.8978708574849738E-2</c:v>
                </c:pt>
                <c:pt idx="23">
                  <c:v>3.7596641072991897E-2</c:v>
                </c:pt>
                <c:pt idx="24">
                  <c:v>3.7113699034698168E-2</c:v>
                </c:pt>
                <c:pt idx="25">
                  <c:v>2.8085048172215295E-2</c:v>
                </c:pt>
                <c:pt idx="26">
                  <c:v>3.9784709543739062E-2</c:v>
                </c:pt>
                <c:pt idx="27">
                  <c:v>3.9135970090311882E-2</c:v>
                </c:pt>
                <c:pt idx="28">
                  <c:v>4.2061556273977362E-2</c:v>
                </c:pt>
                <c:pt idx="29">
                  <c:v>6.1700355770263948E-2</c:v>
                </c:pt>
                <c:pt idx="30">
                  <c:v>3.7710965617686908E-2</c:v>
                </c:pt>
                <c:pt idx="31">
                  <c:v>4.8647165688839672E-2</c:v>
                </c:pt>
                <c:pt idx="32">
                  <c:v>2.7375338914336338E-2</c:v>
                </c:pt>
                <c:pt idx="33">
                  <c:v>5.716334879008144E-2</c:v>
                </c:pt>
                <c:pt idx="34">
                  <c:v>5.568596541612858E-2</c:v>
                </c:pt>
                <c:pt idx="35">
                  <c:v>6.7830389223175899E-2</c:v>
                </c:pt>
                <c:pt idx="36">
                  <c:v>4.5277878887086745E-2</c:v>
                </c:pt>
                <c:pt idx="37">
                  <c:v>8.1274025799676589E-2</c:v>
                </c:pt>
                <c:pt idx="38">
                  <c:v>5.903351843243132E-2</c:v>
                </c:pt>
                <c:pt idx="39">
                  <c:v>4.188907714093304E-2</c:v>
                </c:pt>
                <c:pt idx="40">
                  <c:v>5.0937749853243543E-2</c:v>
                </c:pt>
                <c:pt idx="41">
                  <c:v>2.6781106695316682E-2</c:v>
                </c:pt>
                <c:pt idx="42">
                  <c:v>5.3781655959283838E-2</c:v>
                </c:pt>
                <c:pt idx="43">
                  <c:v>2.9483535529779569E-2</c:v>
                </c:pt>
                <c:pt idx="44">
                  <c:v>3.1861004173783104E-2</c:v>
                </c:pt>
                <c:pt idx="45">
                  <c:v>3.6787933073701908E-2</c:v>
                </c:pt>
                <c:pt idx="46">
                  <c:v>4.1821366631326351E-2</c:v>
                </c:pt>
                <c:pt idx="47">
                  <c:v>5.5709310899407463E-2</c:v>
                </c:pt>
                <c:pt idx="48">
                  <c:v>5.5516965615692401E-2</c:v>
                </c:pt>
                <c:pt idx="49">
                  <c:v>6.6655336587155001E-2</c:v>
                </c:pt>
                <c:pt idx="50">
                  <c:v>6.5864101884009632E-3</c:v>
                </c:pt>
                <c:pt idx="51">
                  <c:v>8.2724428035791941E-3</c:v>
                </c:pt>
                <c:pt idx="52">
                  <c:v>1.1105065694990014E-2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A-4D6C-8CE4-5170F8BB6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992767"/>
        <c:axId val="1715993247"/>
      </c:scatterChart>
      <c:valAx>
        <c:axId val="171599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993247"/>
        <c:crosses val="autoZero"/>
        <c:crossBetween val="midCat"/>
      </c:valAx>
      <c:valAx>
        <c:axId val="17159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99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584470</xdr:colOff>
      <xdr:row>6</xdr:row>
      <xdr:rowOff>180524</xdr:rowOff>
    </xdr:from>
    <xdr:to>
      <xdr:col>21</xdr:col>
      <xdr:colOff>639774</xdr:colOff>
      <xdr:row>21</xdr:row>
      <xdr:rowOff>158401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DD961-72D2-952E-CC9D-0E1DCC4CC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="71" zoomScaleNormal="145" workbookViewId="0">
      <selection activeCell="M29" sqref="M29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8</v>
      </c>
      <c r="G1" t="s">
        <v>9</v>
      </c>
      <c r="H1" t="s">
        <v>6</v>
      </c>
      <c r="I1" t="s">
        <v>7</v>
      </c>
      <c r="J1" s="1" t="s">
        <v>3</v>
      </c>
      <c r="K1" s="1" t="s">
        <v>13</v>
      </c>
    </row>
    <row r="2" spans="1:11" x14ac:dyDescent="0.45">
      <c r="A2" t="s">
        <v>10</v>
      </c>
      <c r="B2">
        <v>1</v>
      </c>
      <c r="C2">
        <v>3000</v>
      </c>
      <c r="D2">
        <v>0.32229999999999998</v>
      </c>
      <c r="E2">
        <v>0.15909999999999999</v>
      </c>
      <c r="F2">
        <f>LN(D2)</f>
        <v>-1.132272490160745</v>
      </c>
      <c r="G2">
        <f>LN(E2)</f>
        <v>-1.838222343638396</v>
      </c>
      <c r="H2">
        <v>18</v>
      </c>
      <c r="I2">
        <v>1</v>
      </c>
      <c r="J2">
        <f>(F2-G2)/(H2-I2)</f>
        <v>4.1526461969273586E-2</v>
      </c>
      <c r="K2">
        <v>6</v>
      </c>
    </row>
    <row r="3" spans="1:11" x14ac:dyDescent="0.45">
      <c r="A3" t="s">
        <v>10</v>
      </c>
      <c r="B3">
        <v>2</v>
      </c>
      <c r="C3">
        <v>3000</v>
      </c>
      <c r="D3">
        <v>0.44750000000000001</v>
      </c>
      <c r="E3">
        <v>0.15820000000000001</v>
      </c>
      <c r="F3">
        <f t="shared" ref="F3:F9" si="0">LN(D3)</f>
        <v>-0.804078741267227</v>
      </c>
      <c r="G3">
        <f t="shared" ref="G3:G9" si="1">LN(E3)</f>
        <v>-1.8438952236485835</v>
      </c>
      <c r="H3">
        <v>24</v>
      </c>
      <c r="I3">
        <v>1</v>
      </c>
      <c r="J3">
        <f t="shared" ref="J3:J9" si="2">(F3-G3)/(H3-I3)</f>
        <v>4.5209412277450282E-2</v>
      </c>
      <c r="K3">
        <v>6</v>
      </c>
    </row>
    <row r="4" spans="1:11" x14ac:dyDescent="0.45">
      <c r="A4" t="s">
        <v>10</v>
      </c>
      <c r="B4">
        <v>3</v>
      </c>
      <c r="C4">
        <v>3000</v>
      </c>
      <c r="D4">
        <v>0.44629999999999997</v>
      </c>
      <c r="E4">
        <v>0.13039999999999999</v>
      </c>
      <c r="F4">
        <f t="shared" si="0"/>
        <v>-0.80676390734691283</v>
      </c>
      <c r="G4">
        <f t="shared" si="1"/>
        <v>-2.0371486294895846</v>
      </c>
      <c r="H4">
        <v>24</v>
      </c>
      <c r="I4">
        <v>1</v>
      </c>
      <c r="J4">
        <f t="shared" si="2"/>
        <v>5.3494987919246603E-2</v>
      </c>
      <c r="K4">
        <v>6</v>
      </c>
    </row>
    <row r="5" spans="1:11" x14ac:dyDescent="0.45">
      <c r="A5" t="s">
        <v>10</v>
      </c>
      <c r="B5">
        <v>1</v>
      </c>
      <c r="C5">
        <v>3000</v>
      </c>
      <c r="D5">
        <v>0.27489999999999998</v>
      </c>
      <c r="E5">
        <v>0.1179</v>
      </c>
      <c r="F5">
        <f t="shared" si="0"/>
        <v>-1.2913478838109371</v>
      </c>
      <c r="G5">
        <f t="shared" si="1"/>
        <v>-2.137918471438812</v>
      </c>
      <c r="H5">
        <v>20</v>
      </c>
      <c r="I5">
        <v>1</v>
      </c>
      <c r="J5">
        <f t="shared" si="2"/>
        <v>4.455634671725657E-2</v>
      </c>
      <c r="K5">
        <v>8</v>
      </c>
    </row>
    <row r="6" spans="1:11" x14ac:dyDescent="0.45">
      <c r="A6" t="s">
        <v>10</v>
      </c>
      <c r="B6">
        <v>2</v>
      </c>
      <c r="C6">
        <v>3000</v>
      </c>
      <c r="D6">
        <v>0.49030000000000001</v>
      </c>
      <c r="E6">
        <v>0.1492</v>
      </c>
      <c r="F6">
        <f t="shared" si="0"/>
        <v>-0.71273783032494942</v>
      </c>
      <c r="G6">
        <f t="shared" si="1"/>
        <v>-1.9024675912124767</v>
      </c>
      <c r="H6">
        <v>20</v>
      </c>
      <c r="I6">
        <v>1</v>
      </c>
      <c r="J6">
        <f t="shared" si="2"/>
        <v>6.2617355836185648E-2</v>
      </c>
      <c r="K6">
        <v>8</v>
      </c>
    </row>
    <row r="7" spans="1:11" x14ac:dyDescent="0.45">
      <c r="A7" t="s">
        <v>10</v>
      </c>
      <c r="B7">
        <v>3</v>
      </c>
      <c r="C7">
        <v>3000</v>
      </c>
      <c r="D7">
        <v>0.56640000000000001</v>
      </c>
      <c r="E7">
        <v>0.1255</v>
      </c>
      <c r="F7">
        <f t="shared" si="0"/>
        <v>-0.56845473660262702</v>
      </c>
      <c r="G7">
        <f t="shared" si="1"/>
        <v>-2.0754495204102983</v>
      </c>
      <c r="H7">
        <v>20</v>
      </c>
      <c r="I7">
        <v>1</v>
      </c>
      <c r="J7">
        <f t="shared" si="2"/>
        <v>7.9315514937245868E-2</v>
      </c>
      <c r="K7">
        <v>8</v>
      </c>
    </row>
    <row r="8" spans="1:11" x14ac:dyDescent="0.45">
      <c r="A8" t="s">
        <v>11</v>
      </c>
      <c r="B8">
        <v>1</v>
      </c>
      <c r="C8">
        <v>3000</v>
      </c>
      <c r="D8">
        <v>0.31830000000000003</v>
      </c>
      <c r="E8">
        <v>0.19989999999999999</v>
      </c>
      <c r="F8">
        <f t="shared" si="0"/>
        <v>-1.1447609446940898</v>
      </c>
      <c r="G8">
        <f t="shared" si="1"/>
        <v>-1.6099380374757828</v>
      </c>
      <c r="H8">
        <v>10</v>
      </c>
      <c r="I8">
        <v>2</v>
      </c>
      <c r="J8">
        <f t="shared" si="2"/>
        <v>5.8147136597711618E-2</v>
      </c>
      <c r="K8">
        <v>22</v>
      </c>
    </row>
    <row r="9" spans="1:11" x14ac:dyDescent="0.45">
      <c r="A9" t="s">
        <v>11</v>
      </c>
      <c r="B9">
        <v>2</v>
      </c>
      <c r="C9">
        <v>3000</v>
      </c>
      <c r="D9">
        <v>0.29330000000000001</v>
      </c>
      <c r="E9">
        <v>0.1431</v>
      </c>
      <c r="F9">
        <f t="shared" si="0"/>
        <v>-1.2265593029987316</v>
      </c>
      <c r="G9">
        <f t="shared" si="1"/>
        <v>-1.9442115924197318</v>
      </c>
      <c r="H9">
        <v>11</v>
      </c>
      <c r="I9">
        <v>1</v>
      </c>
      <c r="J9">
        <f t="shared" si="2"/>
        <v>7.1765228942100023E-2</v>
      </c>
      <c r="K9">
        <v>22</v>
      </c>
    </row>
    <row r="10" spans="1:11" x14ac:dyDescent="0.45">
      <c r="A10" t="s">
        <v>11</v>
      </c>
      <c r="B10">
        <v>3</v>
      </c>
      <c r="C10">
        <v>3000</v>
      </c>
      <c r="D10">
        <v>0.31509999999999999</v>
      </c>
      <c r="E10">
        <v>0.16689999999999999</v>
      </c>
      <c r="F10">
        <f>LN(D10)</f>
        <v>-1.1548652302189082</v>
      </c>
      <c r="G10">
        <f>LN(E10)</f>
        <v>-1.7903604483143476</v>
      </c>
      <c r="H10">
        <v>11</v>
      </c>
      <c r="I10">
        <v>1</v>
      </c>
      <c r="J10">
        <f>(F10-G10)/(H10-I10)</f>
        <v>6.3549521809543943E-2</v>
      </c>
      <c r="K10">
        <v>22</v>
      </c>
    </row>
    <row r="11" spans="1:11" x14ac:dyDescent="0.45">
      <c r="A11" t="s">
        <v>12</v>
      </c>
      <c r="B11">
        <v>1</v>
      </c>
      <c r="C11">
        <v>3000</v>
      </c>
      <c r="D11" s="1">
        <v>0.20810000000000001</v>
      </c>
      <c r="E11" s="1">
        <v>0.1016</v>
      </c>
      <c r="F11">
        <f t="shared" ref="F11:F54" si="3">LN(D11)</f>
        <v>-1.5697365455825483</v>
      </c>
      <c r="G11">
        <f t="shared" ref="G11:G54" si="4">LN(E11)</f>
        <v>-2.2867117438377558</v>
      </c>
      <c r="H11">
        <v>16</v>
      </c>
      <c r="I11">
        <v>1</v>
      </c>
      <c r="J11">
        <f t="shared" ref="J11:J54" si="5">(F11-G11)/(H11-I11)</f>
        <v>4.7798346550347169E-2</v>
      </c>
      <c r="K11">
        <v>15</v>
      </c>
    </row>
    <row r="12" spans="1:11" x14ac:dyDescent="0.45">
      <c r="A12" t="s">
        <v>12</v>
      </c>
      <c r="B12">
        <v>2</v>
      </c>
      <c r="C12">
        <v>3000</v>
      </c>
      <c r="D12">
        <v>0.20030000000000001</v>
      </c>
      <c r="E12">
        <v>0.1075</v>
      </c>
      <c r="F12">
        <f t="shared" si="3"/>
        <v>-1.6079390363103645</v>
      </c>
      <c r="G12">
        <f t="shared" si="4"/>
        <v>-2.2302644314144198</v>
      </c>
      <c r="H12">
        <v>14</v>
      </c>
      <c r="I12">
        <v>1</v>
      </c>
      <c r="J12">
        <f t="shared" si="5"/>
        <v>4.7871184238773484E-2</v>
      </c>
      <c r="K12">
        <v>15</v>
      </c>
    </row>
    <row r="13" spans="1:11" x14ac:dyDescent="0.45">
      <c r="A13" t="s">
        <v>12</v>
      </c>
      <c r="B13">
        <v>3</v>
      </c>
      <c r="C13">
        <v>3000</v>
      </c>
      <c r="D13">
        <v>0.21290000000000001</v>
      </c>
      <c r="E13">
        <v>0.1084</v>
      </c>
      <c r="F13">
        <f t="shared" si="3"/>
        <v>-1.5469327070827033</v>
      </c>
      <c r="G13">
        <f t="shared" si="4"/>
        <v>-2.2219271899765913</v>
      </c>
      <c r="H13">
        <v>15</v>
      </c>
      <c r="I13">
        <v>1</v>
      </c>
      <c r="J13">
        <f t="shared" si="5"/>
        <v>4.8213891635277721E-2</v>
      </c>
      <c r="K13">
        <v>15</v>
      </c>
    </row>
    <row r="14" spans="1:11" x14ac:dyDescent="0.45">
      <c r="A14" t="s">
        <v>10</v>
      </c>
      <c r="B14">
        <v>1</v>
      </c>
      <c r="C14">
        <v>2000</v>
      </c>
      <c r="D14">
        <v>0.34610000000000002</v>
      </c>
      <c r="E14">
        <v>0.1366</v>
      </c>
      <c r="F14">
        <f t="shared" si="3"/>
        <v>-1.0610275283408384</v>
      </c>
      <c r="G14">
        <f t="shared" si="4"/>
        <v>-1.9906983318454474</v>
      </c>
      <c r="H14">
        <v>13</v>
      </c>
      <c r="I14">
        <v>1</v>
      </c>
      <c r="J14">
        <f t="shared" si="5"/>
        <v>7.7472566958717418E-2</v>
      </c>
      <c r="K14">
        <v>12</v>
      </c>
    </row>
    <row r="15" spans="1:11" x14ac:dyDescent="0.45">
      <c r="A15" t="s">
        <v>10</v>
      </c>
      <c r="B15">
        <v>2</v>
      </c>
      <c r="C15">
        <v>2000</v>
      </c>
      <c r="D15">
        <v>0.35780000000000001</v>
      </c>
      <c r="E15">
        <v>0.15629999999999999</v>
      </c>
      <c r="F15">
        <f t="shared" si="3"/>
        <v>-1.0277811079075183</v>
      </c>
      <c r="G15">
        <f t="shared" si="4"/>
        <v>-1.8559780415547062</v>
      </c>
      <c r="H15">
        <v>13</v>
      </c>
      <c r="I15">
        <v>1</v>
      </c>
      <c r="J15">
        <f t="shared" si="5"/>
        <v>6.9016411137265657E-2</v>
      </c>
      <c r="K15">
        <v>12</v>
      </c>
    </row>
    <row r="16" spans="1:11" x14ac:dyDescent="0.45">
      <c r="A16" t="s">
        <v>11</v>
      </c>
      <c r="B16">
        <v>1</v>
      </c>
      <c r="C16">
        <v>2000</v>
      </c>
      <c r="D16">
        <v>0.26960000000000001</v>
      </c>
      <c r="E16">
        <v>0.1326</v>
      </c>
      <c r="F16">
        <f t="shared" si="3"/>
        <v>-1.310815899943985</v>
      </c>
      <c r="G16">
        <f t="shared" si="4"/>
        <v>-2.0204182012303749</v>
      </c>
      <c r="H16">
        <v>14</v>
      </c>
      <c r="I16">
        <v>2</v>
      </c>
      <c r="J16">
        <f t="shared" si="5"/>
        <v>5.9133525107199159E-2</v>
      </c>
      <c r="K16">
        <v>8</v>
      </c>
    </row>
    <row r="17" spans="1:11" x14ac:dyDescent="0.45">
      <c r="A17" t="s">
        <v>11</v>
      </c>
      <c r="B17">
        <v>2</v>
      </c>
      <c r="C17">
        <v>2000</v>
      </c>
      <c r="D17">
        <v>0.26119999999999999</v>
      </c>
      <c r="E17">
        <v>0.13769999999999999</v>
      </c>
      <c r="F17">
        <f t="shared" si="3"/>
        <v>-1.3424688815798611</v>
      </c>
      <c r="G17">
        <f t="shared" si="4"/>
        <v>-1.9826778732475279</v>
      </c>
      <c r="H17">
        <v>14</v>
      </c>
      <c r="I17">
        <v>2</v>
      </c>
      <c r="J17">
        <f t="shared" si="5"/>
        <v>5.3350749305638899E-2</v>
      </c>
      <c r="K17">
        <v>8</v>
      </c>
    </row>
    <row r="18" spans="1:11" x14ac:dyDescent="0.45">
      <c r="A18" t="s">
        <v>11</v>
      </c>
      <c r="B18">
        <v>1</v>
      </c>
      <c r="C18">
        <v>3000</v>
      </c>
      <c r="D18">
        <v>0.2419</v>
      </c>
      <c r="E18">
        <v>0.1111</v>
      </c>
      <c r="F18">
        <f t="shared" si="3"/>
        <v>-1.4192308613661555</v>
      </c>
      <c r="G18">
        <f t="shared" si="4"/>
        <v>-2.1973245823365528</v>
      </c>
      <c r="H18">
        <v>15</v>
      </c>
      <c r="I18">
        <v>1</v>
      </c>
      <c r="J18">
        <f t="shared" si="5"/>
        <v>5.5578122926456953E-2</v>
      </c>
      <c r="K18">
        <v>21</v>
      </c>
    </row>
    <row r="19" spans="1:11" x14ac:dyDescent="0.45">
      <c r="A19" t="s">
        <v>11</v>
      </c>
      <c r="B19">
        <v>2</v>
      </c>
      <c r="C19">
        <v>3000</v>
      </c>
      <c r="D19">
        <v>0.25309999999999999</v>
      </c>
      <c r="E19">
        <v>0.1182</v>
      </c>
      <c r="F19">
        <f t="shared" si="3"/>
        <v>-1.3739706114310588</v>
      </c>
      <c r="G19">
        <f t="shared" si="4"/>
        <v>-2.1353771740101393</v>
      </c>
      <c r="H19">
        <v>15</v>
      </c>
      <c r="I19">
        <v>1</v>
      </c>
      <c r="J19">
        <f t="shared" si="5"/>
        <v>5.438618304136289E-2</v>
      </c>
      <c r="K19">
        <v>21</v>
      </c>
    </row>
    <row r="20" spans="1:11" x14ac:dyDescent="0.45">
      <c r="A20" t="s">
        <v>11</v>
      </c>
      <c r="B20">
        <v>3</v>
      </c>
      <c r="C20">
        <v>3000</v>
      </c>
      <c r="D20">
        <v>0.2717</v>
      </c>
      <c r="E20">
        <v>0.1101</v>
      </c>
      <c r="F20">
        <f t="shared" si="3"/>
        <v>-1.303056762549835</v>
      </c>
      <c r="G20">
        <f t="shared" si="4"/>
        <v>-2.2063662352535029</v>
      </c>
      <c r="H20">
        <v>15</v>
      </c>
      <c r="I20">
        <v>1</v>
      </c>
      <c r="J20">
        <f t="shared" si="5"/>
        <v>6.4522105193119142E-2</v>
      </c>
      <c r="K20">
        <v>21</v>
      </c>
    </row>
    <row r="21" spans="1:11" x14ac:dyDescent="0.45">
      <c r="A21" t="s">
        <v>11</v>
      </c>
      <c r="B21">
        <v>1</v>
      </c>
      <c r="C21">
        <v>3000</v>
      </c>
      <c r="D21">
        <v>0.24510000000000001</v>
      </c>
      <c r="E21">
        <v>0.1128</v>
      </c>
      <c r="F21">
        <f t="shared" si="3"/>
        <v>-1.4060889884480701</v>
      </c>
      <c r="G21">
        <f t="shared" si="4"/>
        <v>-2.1821389399181785</v>
      </c>
      <c r="H21">
        <v>17</v>
      </c>
      <c r="I21">
        <v>1</v>
      </c>
      <c r="J21">
        <f t="shared" si="5"/>
        <v>4.8503121966881779E-2</v>
      </c>
      <c r="K21">
        <v>10</v>
      </c>
    </row>
    <row r="22" spans="1:11" x14ac:dyDescent="0.45">
      <c r="A22" t="s">
        <v>11</v>
      </c>
      <c r="B22">
        <v>2</v>
      </c>
      <c r="C22">
        <v>3000</v>
      </c>
      <c r="D22">
        <v>0.31559999999999999</v>
      </c>
      <c r="E22">
        <v>0.1197</v>
      </c>
      <c r="F22">
        <f t="shared" si="3"/>
        <v>-1.1532796900104179</v>
      </c>
      <c r="G22">
        <f t="shared" si="4"/>
        <v>-2.1227666664182094</v>
      </c>
      <c r="H22">
        <v>24</v>
      </c>
      <c r="I22">
        <v>1</v>
      </c>
      <c r="J22">
        <f t="shared" si="5"/>
        <v>4.215160766990398E-2</v>
      </c>
      <c r="K22">
        <v>10</v>
      </c>
    </row>
    <row r="23" spans="1:11" x14ac:dyDescent="0.45">
      <c r="A23" t="s">
        <v>11</v>
      </c>
      <c r="B23">
        <v>1</v>
      </c>
      <c r="C23">
        <v>1000</v>
      </c>
      <c r="D23" s="1">
        <v>0.21379999999999999</v>
      </c>
      <c r="E23" s="1">
        <v>0.12720000000000001</v>
      </c>
      <c r="F23">
        <f t="shared" si="3"/>
        <v>-1.5427142803911922</v>
      </c>
      <c r="G23">
        <f t="shared" si="4"/>
        <v>-2.0619946280761154</v>
      </c>
      <c r="H23">
        <v>13</v>
      </c>
      <c r="I23">
        <v>2</v>
      </c>
      <c r="J23">
        <f t="shared" si="5"/>
        <v>4.7207304334993025E-2</v>
      </c>
      <c r="K23">
        <v>27</v>
      </c>
    </row>
    <row r="24" spans="1:11" x14ac:dyDescent="0.45">
      <c r="A24" t="s">
        <v>11</v>
      </c>
      <c r="B24">
        <v>2</v>
      </c>
      <c r="C24">
        <v>1000</v>
      </c>
      <c r="D24" s="1">
        <v>0.21590000000000001</v>
      </c>
      <c r="E24" s="1">
        <v>0.12509999999999999</v>
      </c>
      <c r="F24">
        <f t="shared" si="3"/>
        <v>-1.5329399414613754</v>
      </c>
      <c r="G24">
        <f t="shared" si="4"/>
        <v>-2.0786418615092717</v>
      </c>
      <c r="H24">
        <v>16</v>
      </c>
      <c r="I24">
        <v>2</v>
      </c>
      <c r="J24">
        <f t="shared" si="5"/>
        <v>3.8978708574849738E-2</v>
      </c>
      <c r="K24">
        <v>27</v>
      </c>
    </row>
    <row r="25" spans="1:11" x14ac:dyDescent="0.45">
      <c r="A25" t="s">
        <v>11</v>
      </c>
      <c r="B25">
        <v>3</v>
      </c>
      <c r="C25">
        <v>1000</v>
      </c>
      <c r="D25" s="1">
        <v>0.21390000000000001</v>
      </c>
      <c r="E25" s="1">
        <v>0.1217</v>
      </c>
      <c r="F25">
        <f t="shared" si="3"/>
        <v>-1.542246662893777</v>
      </c>
      <c r="G25">
        <f t="shared" si="4"/>
        <v>-2.1061962789886555</v>
      </c>
      <c r="H25">
        <v>17</v>
      </c>
      <c r="I25">
        <v>2</v>
      </c>
      <c r="J25">
        <f t="shared" si="5"/>
        <v>3.7596641072991897E-2</v>
      </c>
      <c r="K25">
        <v>27</v>
      </c>
    </row>
    <row r="26" spans="1:11" x14ac:dyDescent="0.45">
      <c r="A26" t="s">
        <v>10</v>
      </c>
      <c r="B26">
        <v>1</v>
      </c>
      <c r="C26">
        <v>2000</v>
      </c>
      <c r="D26" s="1">
        <v>0.18279999999999999</v>
      </c>
      <c r="E26" s="1">
        <v>0.1171</v>
      </c>
      <c r="F26">
        <f t="shared" si="3"/>
        <v>-1.6993626199620875</v>
      </c>
      <c r="G26">
        <f t="shared" si="4"/>
        <v>-2.1447270083784655</v>
      </c>
      <c r="H26">
        <v>14</v>
      </c>
      <c r="I26">
        <v>2</v>
      </c>
      <c r="J26">
        <f t="shared" si="5"/>
        <v>3.7113699034698168E-2</v>
      </c>
      <c r="K26">
        <v>6</v>
      </c>
    </row>
    <row r="27" spans="1:11" x14ac:dyDescent="0.45">
      <c r="A27" t="s">
        <v>10</v>
      </c>
      <c r="B27">
        <v>2</v>
      </c>
      <c r="C27">
        <v>2000</v>
      </c>
      <c r="D27" s="1">
        <v>0.22</v>
      </c>
      <c r="E27" s="1">
        <v>0.1186</v>
      </c>
      <c r="F27">
        <f t="shared" si="3"/>
        <v>-1.5141277326297755</v>
      </c>
      <c r="G27">
        <f t="shared" si="4"/>
        <v>-2.131998792418512</v>
      </c>
      <c r="H27">
        <v>24</v>
      </c>
      <c r="I27">
        <v>2</v>
      </c>
      <c r="J27">
        <f t="shared" si="5"/>
        <v>2.8085048172215295E-2</v>
      </c>
      <c r="K27">
        <v>6</v>
      </c>
    </row>
    <row r="28" spans="1:11" x14ac:dyDescent="0.45">
      <c r="A28" t="s">
        <v>10</v>
      </c>
      <c r="B28">
        <v>3</v>
      </c>
      <c r="C28">
        <v>2000</v>
      </c>
      <c r="D28" s="1">
        <v>0.23599999999999999</v>
      </c>
      <c r="E28" s="1">
        <v>0.12</v>
      </c>
      <c r="F28">
        <f t="shared" si="3"/>
        <v>-1.443923473956527</v>
      </c>
      <c r="G28">
        <f t="shared" si="4"/>
        <v>-2.120263536200091</v>
      </c>
      <c r="H28">
        <v>19</v>
      </c>
      <c r="I28">
        <v>2</v>
      </c>
      <c r="J28">
        <f t="shared" si="5"/>
        <v>3.9784709543739062E-2</v>
      </c>
      <c r="K28">
        <v>6</v>
      </c>
    </row>
    <row r="29" spans="1:11" x14ac:dyDescent="0.45">
      <c r="A29" t="s">
        <v>10</v>
      </c>
      <c r="B29">
        <v>1</v>
      </c>
      <c r="C29">
        <v>2000</v>
      </c>
      <c r="D29" s="1">
        <v>0.28070000000000001</v>
      </c>
      <c r="E29" s="1">
        <v>0.1234</v>
      </c>
      <c r="F29">
        <f t="shared" si="3"/>
        <v>-1.2704687956143002</v>
      </c>
      <c r="G29">
        <f t="shared" si="4"/>
        <v>-2.0923241675108497</v>
      </c>
      <c r="H29">
        <v>23</v>
      </c>
      <c r="I29">
        <v>2</v>
      </c>
      <c r="J29">
        <f t="shared" si="5"/>
        <v>3.9135970090311882E-2</v>
      </c>
      <c r="K29">
        <v>24</v>
      </c>
    </row>
    <row r="30" spans="1:11" x14ac:dyDescent="0.45">
      <c r="A30" t="s">
        <v>10</v>
      </c>
      <c r="B30">
        <v>2</v>
      </c>
      <c r="C30">
        <v>2000</v>
      </c>
      <c r="D30" s="1">
        <v>0.33250000000000002</v>
      </c>
      <c r="E30" s="1">
        <v>0.1318</v>
      </c>
      <c r="F30">
        <f t="shared" si="3"/>
        <v>-1.1011154188862282</v>
      </c>
      <c r="G30">
        <f t="shared" si="4"/>
        <v>-2.0264696569137302</v>
      </c>
      <c r="H30">
        <v>24</v>
      </c>
      <c r="I30">
        <v>2</v>
      </c>
      <c r="J30">
        <f t="shared" si="5"/>
        <v>4.2061556273977362E-2</v>
      </c>
      <c r="K30">
        <v>24</v>
      </c>
    </row>
    <row r="31" spans="1:11" x14ac:dyDescent="0.45">
      <c r="A31" t="s">
        <v>10</v>
      </c>
      <c r="B31">
        <v>3</v>
      </c>
      <c r="C31">
        <v>2000</v>
      </c>
      <c r="D31" s="1">
        <v>0.31990000000000002</v>
      </c>
      <c r="E31" s="1">
        <v>0.1192</v>
      </c>
      <c r="F31">
        <f t="shared" si="3"/>
        <v>-1.1397468320266646</v>
      </c>
      <c r="G31">
        <f t="shared" si="4"/>
        <v>-2.1269525243508878</v>
      </c>
      <c r="H31">
        <v>22</v>
      </c>
      <c r="I31">
        <v>6</v>
      </c>
      <c r="J31">
        <f t="shared" si="5"/>
        <v>6.1700355770263948E-2</v>
      </c>
      <c r="K31">
        <v>24</v>
      </c>
    </row>
    <row r="32" spans="1:11" x14ac:dyDescent="0.45">
      <c r="A32" t="s">
        <v>11</v>
      </c>
      <c r="B32">
        <v>1</v>
      </c>
      <c r="C32">
        <v>2000</v>
      </c>
      <c r="D32" s="1">
        <v>0.35189999999999999</v>
      </c>
      <c r="E32" s="1">
        <v>0.15939999999999999</v>
      </c>
      <c r="F32">
        <f t="shared" si="3"/>
        <v>-1.0444082346545975</v>
      </c>
      <c r="G32">
        <f t="shared" si="4"/>
        <v>-1.8363385126260225</v>
      </c>
      <c r="H32">
        <v>23</v>
      </c>
      <c r="I32">
        <v>2</v>
      </c>
      <c r="J32">
        <f t="shared" si="5"/>
        <v>3.7710965617686908E-2</v>
      </c>
      <c r="K32">
        <v>7</v>
      </c>
    </row>
    <row r="33" spans="1:11" x14ac:dyDescent="0.45">
      <c r="A33" t="s">
        <v>11</v>
      </c>
      <c r="B33">
        <v>2</v>
      </c>
      <c r="C33">
        <v>2000</v>
      </c>
      <c r="D33" s="1">
        <v>0.53159999999999996</v>
      </c>
      <c r="E33" s="1">
        <v>0.18229999999999999</v>
      </c>
      <c r="F33">
        <f t="shared" si="3"/>
        <v>-0.63186395214304691</v>
      </c>
      <c r="G33">
        <f t="shared" si="4"/>
        <v>-1.7021015972975198</v>
      </c>
      <c r="H33">
        <v>24</v>
      </c>
      <c r="I33">
        <v>2</v>
      </c>
      <c r="J33">
        <f t="shared" si="5"/>
        <v>4.8647165688839672E-2</v>
      </c>
      <c r="K33">
        <v>7</v>
      </c>
    </row>
    <row r="34" spans="1:11" x14ac:dyDescent="0.45">
      <c r="A34" t="s">
        <v>11</v>
      </c>
      <c r="B34">
        <v>3</v>
      </c>
      <c r="C34">
        <v>2000</v>
      </c>
      <c r="D34" s="1">
        <v>0.2225</v>
      </c>
      <c r="E34" s="1">
        <v>0.16020000000000001</v>
      </c>
      <c r="F34">
        <f t="shared" si="3"/>
        <v>-1.5028281773758421</v>
      </c>
      <c r="G34">
        <f t="shared" si="4"/>
        <v>-1.8313322443478781</v>
      </c>
      <c r="H34">
        <v>14</v>
      </c>
      <c r="I34">
        <v>2</v>
      </c>
      <c r="J34">
        <f t="shared" si="5"/>
        <v>2.7375338914336338E-2</v>
      </c>
      <c r="K34">
        <v>7</v>
      </c>
    </row>
    <row r="35" spans="1:11" x14ac:dyDescent="0.45">
      <c r="A35" t="s">
        <v>10</v>
      </c>
      <c r="B35">
        <v>1</v>
      </c>
      <c r="C35">
        <v>1000</v>
      </c>
      <c r="D35" s="1">
        <v>0.33989999999999998</v>
      </c>
      <c r="E35" s="1">
        <v>0.14419999999999999</v>
      </c>
      <c r="F35">
        <f t="shared" si="3"/>
        <v>-1.0791038222800668</v>
      </c>
      <c r="G35">
        <f t="shared" si="4"/>
        <v>-1.9365540541312884</v>
      </c>
      <c r="H35">
        <v>17</v>
      </c>
      <c r="I35">
        <v>2</v>
      </c>
      <c r="J35">
        <f t="shared" si="5"/>
        <v>5.716334879008144E-2</v>
      </c>
      <c r="K35">
        <v>13</v>
      </c>
    </row>
    <row r="36" spans="1:11" x14ac:dyDescent="0.45">
      <c r="A36" t="s">
        <v>10</v>
      </c>
      <c r="B36">
        <v>2</v>
      </c>
      <c r="C36">
        <v>1000</v>
      </c>
      <c r="D36" s="1">
        <v>0.4602</v>
      </c>
      <c r="E36" s="1">
        <v>0.15110000000000001</v>
      </c>
      <c r="F36">
        <f t="shared" si="3"/>
        <v>-0.77609410138087154</v>
      </c>
      <c r="G36">
        <f t="shared" si="4"/>
        <v>-1.8898134097034431</v>
      </c>
      <c r="H36">
        <v>22</v>
      </c>
      <c r="I36">
        <v>2</v>
      </c>
      <c r="J36">
        <f t="shared" si="5"/>
        <v>5.568596541612858E-2</v>
      </c>
      <c r="K36">
        <v>13</v>
      </c>
    </row>
    <row r="37" spans="1:11" x14ac:dyDescent="0.45">
      <c r="A37" t="s">
        <v>10</v>
      </c>
      <c r="B37">
        <v>3</v>
      </c>
      <c r="C37">
        <v>1000</v>
      </c>
      <c r="D37" s="1">
        <v>0.33829999999999999</v>
      </c>
      <c r="E37" s="1">
        <v>0.14990000000000001</v>
      </c>
      <c r="F37">
        <f t="shared" si="3"/>
        <v>-1.0838222031954743</v>
      </c>
      <c r="G37">
        <f t="shared" si="4"/>
        <v>-1.897786873873585</v>
      </c>
      <c r="H37">
        <v>14</v>
      </c>
      <c r="I37">
        <v>2</v>
      </c>
      <c r="J37">
        <f t="shared" si="5"/>
        <v>6.7830389223175899E-2</v>
      </c>
      <c r="K37">
        <v>13</v>
      </c>
    </row>
    <row r="38" spans="1:11" x14ac:dyDescent="0.45">
      <c r="A38" t="s">
        <v>10</v>
      </c>
      <c r="B38">
        <v>1</v>
      </c>
      <c r="C38">
        <v>1000</v>
      </c>
      <c r="D38" s="1">
        <v>0.30830000000000002</v>
      </c>
      <c r="E38" s="1">
        <v>0.14940000000000001</v>
      </c>
      <c r="F38">
        <f t="shared" si="3"/>
        <v>-1.1766819440900322</v>
      </c>
      <c r="G38">
        <f t="shared" si="4"/>
        <v>-1.9011280062834202</v>
      </c>
      <c r="H38">
        <v>19</v>
      </c>
      <c r="I38">
        <v>3</v>
      </c>
      <c r="J38">
        <f t="shared" si="5"/>
        <v>4.5277878887086745E-2</v>
      </c>
      <c r="K38">
        <v>25</v>
      </c>
    </row>
    <row r="39" spans="1:11" x14ac:dyDescent="0.45">
      <c r="A39" t="s">
        <v>10</v>
      </c>
      <c r="B39">
        <v>2</v>
      </c>
      <c r="C39">
        <v>1000</v>
      </c>
      <c r="D39" s="1">
        <v>0.28349999999999997</v>
      </c>
      <c r="E39" s="1">
        <v>0.1605</v>
      </c>
      <c r="F39">
        <f t="shared" si="3"/>
        <v>-1.2605431558143303</v>
      </c>
      <c r="G39">
        <f t="shared" si="4"/>
        <v>-1.8294613364120664</v>
      </c>
      <c r="H39">
        <v>10</v>
      </c>
      <c r="I39">
        <v>3</v>
      </c>
      <c r="J39">
        <f t="shared" si="5"/>
        <v>8.1274025799676589E-2</v>
      </c>
      <c r="K39">
        <v>25</v>
      </c>
    </row>
    <row r="40" spans="1:11" x14ac:dyDescent="0.45">
      <c r="A40" t="s">
        <v>10</v>
      </c>
      <c r="B40">
        <v>3</v>
      </c>
      <c r="C40">
        <v>1000</v>
      </c>
      <c r="D40" s="1">
        <v>0.34079999999999999</v>
      </c>
      <c r="E40" s="1">
        <v>0.15820000000000001</v>
      </c>
      <c r="F40">
        <f t="shared" si="3"/>
        <v>-1.0764594840269763</v>
      </c>
      <c r="G40">
        <f t="shared" si="4"/>
        <v>-1.8438952236485835</v>
      </c>
      <c r="H40">
        <v>16</v>
      </c>
      <c r="I40">
        <v>3</v>
      </c>
      <c r="J40">
        <f t="shared" si="5"/>
        <v>5.903351843243132E-2</v>
      </c>
      <c r="K40">
        <v>25</v>
      </c>
    </row>
    <row r="41" spans="1:11" x14ac:dyDescent="0.45">
      <c r="A41" t="s">
        <v>11</v>
      </c>
      <c r="B41">
        <v>1</v>
      </c>
      <c r="C41">
        <v>1000</v>
      </c>
      <c r="D41" s="1">
        <v>0.2238</v>
      </c>
      <c r="E41" s="1">
        <v>0.1245</v>
      </c>
      <c r="F41">
        <f t="shared" si="3"/>
        <v>-1.4970024831043123</v>
      </c>
      <c r="G41">
        <f t="shared" si="4"/>
        <v>-2.0834495630773748</v>
      </c>
      <c r="H41">
        <v>15</v>
      </c>
      <c r="I41">
        <v>1</v>
      </c>
      <c r="J41">
        <f t="shared" si="5"/>
        <v>4.188907714093304E-2</v>
      </c>
      <c r="K41">
        <v>3</v>
      </c>
    </row>
    <row r="42" spans="1:11" x14ac:dyDescent="0.45">
      <c r="A42" t="s">
        <v>11</v>
      </c>
      <c r="B42">
        <v>2</v>
      </c>
      <c r="C42">
        <v>1000</v>
      </c>
      <c r="D42" s="1">
        <v>0.24490000000000001</v>
      </c>
      <c r="E42" s="1">
        <v>0.13289999999999999</v>
      </c>
      <c r="F42">
        <f t="shared" si="3"/>
        <v>-1.4069053150240149</v>
      </c>
      <c r="G42">
        <f t="shared" si="4"/>
        <v>-2.0181583132629375</v>
      </c>
      <c r="H42">
        <v>15</v>
      </c>
      <c r="I42">
        <v>3</v>
      </c>
      <c r="J42">
        <f t="shared" si="5"/>
        <v>5.0937749853243543E-2</v>
      </c>
      <c r="K42">
        <v>3</v>
      </c>
    </row>
    <row r="43" spans="1:11" x14ac:dyDescent="0.45">
      <c r="A43" t="s">
        <v>11</v>
      </c>
      <c r="B43">
        <v>3</v>
      </c>
      <c r="C43">
        <v>1000</v>
      </c>
      <c r="D43" s="1">
        <v>0.19550000000000001</v>
      </c>
      <c r="E43" s="1">
        <v>0.124</v>
      </c>
      <c r="F43">
        <f t="shared" si="3"/>
        <v>-1.6321948995567166</v>
      </c>
      <c r="G43">
        <f t="shared" si="4"/>
        <v>-2.0874737133771002</v>
      </c>
      <c r="H43">
        <v>18</v>
      </c>
      <c r="I43">
        <v>1</v>
      </c>
      <c r="J43">
        <f t="shared" si="5"/>
        <v>2.6781106695316682E-2</v>
      </c>
      <c r="K43">
        <v>3</v>
      </c>
    </row>
    <row r="44" spans="1:11" x14ac:dyDescent="0.45">
      <c r="A44" t="s">
        <v>12</v>
      </c>
      <c r="B44">
        <v>1</v>
      </c>
      <c r="C44">
        <v>1000</v>
      </c>
      <c r="D44" s="1">
        <v>0.18149999999999999</v>
      </c>
      <c r="E44" s="1">
        <v>0.106</v>
      </c>
      <c r="F44">
        <f t="shared" si="3"/>
        <v>-1.7064996252772315</v>
      </c>
      <c r="G44">
        <f t="shared" si="4"/>
        <v>-2.2443161848700699</v>
      </c>
      <c r="H44">
        <v>11</v>
      </c>
      <c r="I44">
        <v>1</v>
      </c>
      <c r="J44">
        <f t="shared" si="5"/>
        <v>5.3781655959283838E-2</v>
      </c>
      <c r="K44">
        <v>2</v>
      </c>
    </row>
    <row r="45" spans="1:11" x14ac:dyDescent="0.45">
      <c r="A45" t="s">
        <v>11</v>
      </c>
      <c r="B45">
        <v>1</v>
      </c>
      <c r="C45">
        <v>1000</v>
      </c>
      <c r="D45" s="1">
        <v>0.2263</v>
      </c>
      <c r="E45" s="1">
        <v>0.1183</v>
      </c>
      <c r="F45">
        <f t="shared" si="3"/>
        <v>-1.4858937263426453</v>
      </c>
      <c r="G45">
        <f t="shared" si="4"/>
        <v>-2.1345315079977958</v>
      </c>
      <c r="H45">
        <v>24</v>
      </c>
      <c r="I45">
        <v>2</v>
      </c>
      <c r="J45">
        <f t="shared" si="5"/>
        <v>2.9483535529779569E-2</v>
      </c>
      <c r="K45">
        <v>19</v>
      </c>
    </row>
    <row r="46" spans="1:11" x14ac:dyDescent="0.45">
      <c r="A46" t="s">
        <v>11</v>
      </c>
      <c r="B46">
        <v>2</v>
      </c>
      <c r="C46">
        <v>1000</v>
      </c>
      <c r="D46" s="1">
        <v>0.2447</v>
      </c>
      <c r="E46" s="1">
        <v>0.12139999999999999</v>
      </c>
      <c r="F46">
        <f t="shared" si="3"/>
        <v>-1.4077223085335111</v>
      </c>
      <c r="G46">
        <f t="shared" si="4"/>
        <v>-2.1086644003567394</v>
      </c>
      <c r="H46">
        <v>24</v>
      </c>
      <c r="I46">
        <v>2</v>
      </c>
      <c r="J46">
        <f t="shared" si="5"/>
        <v>3.1861004173783104E-2</v>
      </c>
      <c r="K46">
        <v>19</v>
      </c>
    </row>
    <row r="47" spans="1:11" x14ac:dyDescent="0.45">
      <c r="A47" t="s">
        <v>10</v>
      </c>
      <c r="B47">
        <v>1</v>
      </c>
      <c r="C47">
        <v>3000</v>
      </c>
      <c r="D47" s="1">
        <v>0.3367</v>
      </c>
      <c r="E47" s="1">
        <v>0.1555</v>
      </c>
      <c r="F47">
        <f t="shared" si="3"/>
        <v>-1.0885629528151082</v>
      </c>
      <c r="G47">
        <f t="shared" si="4"/>
        <v>-1.8611095473628483</v>
      </c>
      <c r="H47">
        <v>24</v>
      </c>
      <c r="I47">
        <v>3</v>
      </c>
      <c r="J47">
        <f t="shared" si="5"/>
        <v>3.6787933073701908E-2</v>
      </c>
      <c r="K47">
        <v>5</v>
      </c>
    </row>
    <row r="48" spans="1:11" x14ac:dyDescent="0.45">
      <c r="A48" t="s">
        <v>10</v>
      </c>
      <c r="B48">
        <v>2</v>
      </c>
      <c r="C48">
        <v>3000</v>
      </c>
      <c r="D48" s="1">
        <v>0.33139999999999997</v>
      </c>
      <c r="E48" s="1">
        <v>0.13769999999999999</v>
      </c>
      <c r="F48">
        <f t="shared" si="3"/>
        <v>-1.1044291739896746</v>
      </c>
      <c r="G48">
        <f t="shared" si="4"/>
        <v>-1.9826778732475279</v>
      </c>
      <c r="H48">
        <v>24</v>
      </c>
      <c r="I48">
        <v>3</v>
      </c>
      <c r="J48">
        <f t="shared" si="5"/>
        <v>4.1821366631326351E-2</v>
      </c>
      <c r="K48">
        <v>5</v>
      </c>
    </row>
    <row r="49" spans="1:11" x14ac:dyDescent="0.45">
      <c r="A49" t="s">
        <v>10</v>
      </c>
      <c r="B49">
        <v>3</v>
      </c>
      <c r="C49">
        <v>3000</v>
      </c>
      <c r="D49" s="1">
        <v>0.50580000000000003</v>
      </c>
      <c r="E49" s="1">
        <v>0.157</v>
      </c>
      <c r="F49">
        <f t="shared" si="3"/>
        <v>-0.68161394474627224</v>
      </c>
      <c r="G49">
        <f t="shared" si="4"/>
        <v>-1.8515094736338289</v>
      </c>
      <c r="H49">
        <v>24</v>
      </c>
      <c r="I49">
        <v>3</v>
      </c>
      <c r="J49">
        <f t="shared" si="5"/>
        <v>5.5709310899407463E-2</v>
      </c>
      <c r="K49">
        <v>5</v>
      </c>
    </row>
    <row r="50" spans="1:11" x14ac:dyDescent="0.45">
      <c r="A50" t="s">
        <v>12</v>
      </c>
      <c r="B50">
        <v>1</v>
      </c>
      <c r="C50">
        <v>1000</v>
      </c>
      <c r="D50" s="1">
        <v>0.26979999999999998</v>
      </c>
      <c r="E50" s="1">
        <v>0.13109999999999999</v>
      </c>
      <c r="F50">
        <f t="shared" si="3"/>
        <v>-1.3100743352084816</v>
      </c>
      <c r="G50">
        <f t="shared" si="4"/>
        <v>-2.0317948882124828</v>
      </c>
      <c r="H50">
        <v>15</v>
      </c>
      <c r="I50">
        <v>2</v>
      </c>
      <c r="J50">
        <f t="shared" si="5"/>
        <v>5.5516965615692401E-2</v>
      </c>
      <c r="K50">
        <v>6</v>
      </c>
    </row>
    <row r="51" spans="1:11" x14ac:dyDescent="0.45">
      <c r="A51" t="s">
        <v>12</v>
      </c>
      <c r="B51">
        <v>2</v>
      </c>
      <c r="C51">
        <v>1000</v>
      </c>
      <c r="D51" s="1">
        <v>0.46339999999999998</v>
      </c>
      <c r="E51" s="1">
        <v>0.13059999999999999</v>
      </c>
      <c r="F51">
        <f t="shared" si="3"/>
        <v>-0.76916466698386121</v>
      </c>
      <c r="G51">
        <f t="shared" si="4"/>
        <v>-2.0356160621398063</v>
      </c>
      <c r="H51">
        <v>21</v>
      </c>
      <c r="I51">
        <v>2</v>
      </c>
      <c r="J51">
        <f t="shared" si="5"/>
        <v>6.6655336587155001E-2</v>
      </c>
      <c r="K51">
        <v>6</v>
      </c>
    </row>
    <row r="52" spans="1:11" x14ac:dyDescent="0.45">
      <c r="A52" t="s">
        <v>14</v>
      </c>
      <c r="B52">
        <v>1</v>
      </c>
      <c r="C52">
        <v>0</v>
      </c>
      <c r="D52" s="2">
        <v>0.11119999999999999</v>
      </c>
      <c r="E52" s="2">
        <v>9.6199999999999994E-2</v>
      </c>
      <c r="F52">
        <f t="shared" si="3"/>
        <v>-2.196424897165655</v>
      </c>
      <c r="G52">
        <f t="shared" si="4"/>
        <v>-2.3413259213104762</v>
      </c>
      <c r="H52">
        <v>24</v>
      </c>
      <c r="I52">
        <v>2</v>
      </c>
      <c r="J52">
        <f t="shared" si="5"/>
        <v>6.5864101884009632E-3</v>
      </c>
    </row>
    <row r="53" spans="1:11" x14ac:dyDescent="0.45">
      <c r="A53" t="s">
        <v>14</v>
      </c>
      <c r="B53">
        <v>2</v>
      </c>
      <c r="C53">
        <v>0</v>
      </c>
      <c r="D53" s="2">
        <v>0.122</v>
      </c>
      <c r="E53" s="2">
        <v>0.1017</v>
      </c>
      <c r="F53">
        <f t="shared" si="3"/>
        <v>-2.1037342342488805</v>
      </c>
      <c r="G53">
        <f t="shared" si="4"/>
        <v>-2.2857279759276228</v>
      </c>
      <c r="H53">
        <v>24</v>
      </c>
      <c r="I53">
        <v>2</v>
      </c>
      <c r="J53">
        <f t="shared" si="5"/>
        <v>8.2724428035791941E-3</v>
      </c>
    </row>
    <row r="54" spans="1:11" x14ac:dyDescent="0.45">
      <c r="A54" t="s">
        <v>14</v>
      </c>
      <c r="B54">
        <v>3</v>
      </c>
      <c r="C54">
        <v>0</v>
      </c>
      <c r="D54" s="2">
        <v>0.13009999999999999</v>
      </c>
      <c r="E54" s="2">
        <v>0.1019</v>
      </c>
      <c r="F54">
        <f t="shared" si="3"/>
        <v>-2.0394518934636774</v>
      </c>
      <c r="G54">
        <f t="shared" si="4"/>
        <v>-2.2837633387534577</v>
      </c>
      <c r="H54">
        <v>24</v>
      </c>
      <c r="I54">
        <v>2</v>
      </c>
      <c r="J54">
        <f t="shared" si="5"/>
        <v>1.1105065694990014E-2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2015-06-05T18:17:20Z</dcterms:created>
  <dcterms:modified xsi:type="dcterms:W3CDTF">2025-08-11T16:10:52Z</dcterms:modified>
</cp:coreProperties>
</file>