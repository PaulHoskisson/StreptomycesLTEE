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af7725798389f290/Desktop/University Stuff/Data/Growth curves/Isolates/"/>
    </mc:Choice>
  </mc:AlternateContent>
  <xr:revisionPtr revIDLastSave="16" documentId="11_F25DC773A252ABDACC104859E11954745ADE58EC" xr6:coauthVersionLast="47" xr6:coauthVersionMax="47" xr10:uidLastSave="{4FEB3BEB-BA1A-455D-966A-57FCECD43B01}"/>
  <bookViews>
    <workbookView xWindow="-83" yWindow="0" windowWidth="10965" windowHeight="12863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2" i="1" l="1"/>
  <c r="I129" i="1"/>
  <c r="J129" i="1" s="1"/>
  <c r="I130" i="1"/>
  <c r="J130" i="1" s="1"/>
  <c r="I131" i="1"/>
  <c r="J131" i="1" s="1"/>
  <c r="I132" i="1"/>
  <c r="I134" i="1"/>
  <c r="J134" i="1" s="1"/>
  <c r="I137" i="1"/>
  <c r="J137" i="1" s="1"/>
  <c r="I138" i="1"/>
  <c r="J138" i="1" s="1"/>
  <c r="I140" i="1"/>
  <c r="J140" i="1" s="1"/>
  <c r="I141" i="1"/>
  <c r="J141" i="1" s="1"/>
  <c r="I142" i="1"/>
  <c r="J142" i="1" s="1"/>
  <c r="I144" i="1"/>
  <c r="J144" i="1" s="1"/>
  <c r="I145" i="1"/>
  <c r="J145" i="1" s="1"/>
  <c r="H129" i="1"/>
  <c r="H130" i="1"/>
  <c r="H131" i="1"/>
  <c r="H132" i="1"/>
  <c r="H133" i="1"/>
  <c r="I133" i="1" s="1"/>
  <c r="J133" i="1" s="1"/>
  <c r="H134" i="1"/>
  <c r="H136" i="1"/>
  <c r="I136" i="1" s="1"/>
  <c r="J136" i="1" s="1"/>
  <c r="H137" i="1"/>
  <c r="H138" i="1"/>
  <c r="H140" i="1"/>
  <c r="H141" i="1"/>
  <c r="H142" i="1"/>
  <c r="H144" i="1"/>
  <c r="H145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F129" i="1"/>
  <c r="F130" i="1"/>
  <c r="F131" i="1"/>
  <c r="F132" i="1"/>
  <c r="F133" i="1"/>
  <c r="F134" i="1"/>
  <c r="F136" i="1"/>
  <c r="F137" i="1"/>
  <c r="F138" i="1"/>
  <c r="F140" i="1"/>
  <c r="F141" i="1"/>
  <c r="F142" i="1"/>
  <c r="F144" i="1"/>
  <c r="F145" i="1"/>
  <c r="F146" i="1"/>
  <c r="H146" i="1" s="1"/>
  <c r="I146" i="1" s="1"/>
  <c r="J146" i="1" s="1"/>
  <c r="E129" i="1"/>
  <c r="E130" i="1"/>
  <c r="E131" i="1"/>
  <c r="E132" i="1"/>
  <c r="E133" i="1"/>
  <c r="E134" i="1"/>
  <c r="E135" i="1"/>
  <c r="F135" i="1" s="1"/>
  <c r="H135" i="1" s="1"/>
  <c r="I135" i="1" s="1"/>
  <c r="J135" i="1" s="1"/>
  <c r="E136" i="1"/>
  <c r="E137" i="1"/>
  <c r="E138" i="1"/>
  <c r="E139" i="1"/>
  <c r="F139" i="1" s="1"/>
  <c r="H139" i="1" s="1"/>
  <c r="I139" i="1" s="1"/>
  <c r="J139" i="1" s="1"/>
  <c r="E140" i="1"/>
  <c r="E141" i="1"/>
  <c r="E142" i="1"/>
  <c r="E143" i="1"/>
  <c r="F143" i="1" s="1"/>
  <c r="H143" i="1" s="1"/>
  <c r="I143" i="1" s="1"/>
  <c r="J143" i="1" s="1"/>
  <c r="E144" i="1"/>
  <c r="E145" i="1"/>
  <c r="E146" i="1"/>
  <c r="E147" i="1"/>
  <c r="F147" i="1" s="1"/>
  <c r="H147" i="1" s="1"/>
  <c r="I147" i="1" s="1"/>
  <c r="J147" i="1" s="1"/>
  <c r="E148" i="1"/>
  <c r="F148" i="1" s="1"/>
  <c r="H148" i="1" s="1"/>
  <c r="I148" i="1" s="1"/>
  <c r="J148" i="1" s="1"/>
  <c r="S83" i="1"/>
  <c r="J107" i="1"/>
  <c r="J108" i="1"/>
  <c r="J109" i="1"/>
  <c r="I107" i="1"/>
  <c r="I108" i="1"/>
  <c r="I109" i="1"/>
  <c r="H107" i="1"/>
  <c r="H108" i="1"/>
  <c r="H109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F108" i="1"/>
  <c r="F109" i="1"/>
  <c r="E107" i="1"/>
  <c r="E108" i="1"/>
  <c r="E109" i="1"/>
  <c r="E110" i="1"/>
  <c r="F110" i="1" s="1"/>
  <c r="H110" i="1" s="1"/>
  <c r="I110" i="1" s="1"/>
  <c r="J110" i="1" s="1"/>
  <c r="E111" i="1"/>
  <c r="F111" i="1" s="1"/>
  <c r="H111" i="1" s="1"/>
  <c r="I111" i="1" s="1"/>
  <c r="J111" i="1" s="1"/>
  <c r="E112" i="1"/>
  <c r="F112" i="1" s="1"/>
  <c r="H112" i="1" s="1"/>
  <c r="I112" i="1" s="1"/>
  <c r="J112" i="1" s="1"/>
  <c r="E113" i="1"/>
  <c r="F113" i="1" s="1"/>
  <c r="H113" i="1" s="1"/>
  <c r="I113" i="1" s="1"/>
  <c r="J113" i="1" s="1"/>
  <c r="E114" i="1"/>
  <c r="F114" i="1" s="1"/>
  <c r="H114" i="1" s="1"/>
  <c r="I114" i="1" s="1"/>
  <c r="J114" i="1" s="1"/>
  <c r="E115" i="1"/>
  <c r="F115" i="1" s="1"/>
  <c r="H115" i="1" s="1"/>
  <c r="I115" i="1" s="1"/>
  <c r="J115" i="1" s="1"/>
  <c r="E116" i="1"/>
  <c r="F116" i="1" s="1"/>
  <c r="H116" i="1" s="1"/>
  <c r="I116" i="1" s="1"/>
  <c r="J116" i="1" s="1"/>
  <c r="E117" i="1"/>
  <c r="F117" i="1" s="1"/>
  <c r="H117" i="1" s="1"/>
  <c r="I117" i="1" s="1"/>
  <c r="J117" i="1" s="1"/>
  <c r="E118" i="1"/>
  <c r="F118" i="1" s="1"/>
  <c r="H118" i="1" s="1"/>
  <c r="I118" i="1" s="1"/>
  <c r="J118" i="1" s="1"/>
  <c r="E119" i="1"/>
  <c r="F119" i="1" s="1"/>
  <c r="H119" i="1" s="1"/>
  <c r="I119" i="1" s="1"/>
  <c r="J119" i="1" s="1"/>
  <c r="E120" i="1"/>
  <c r="F120" i="1" s="1"/>
  <c r="H120" i="1" s="1"/>
  <c r="I120" i="1" s="1"/>
  <c r="J120" i="1" s="1"/>
  <c r="E121" i="1"/>
  <c r="F121" i="1" s="1"/>
  <c r="H121" i="1" s="1"/>
  <c r="I121" i="1" s="1"/>
  <c r="J121" i="1" s="1"/>
  <c r="E122" i="1"/>
  <c r="F122" i="1" s="1"/>
  <c r="H122" i="1" s="1"/>
  <c r="I122" i="1" s="1"/>
  <c r="J122" i="1" s="1"/>
  <c r="E123" i="1"/>
  <c r="F123" i="1" s="1"/>
  <c r="H123" i="1" s="1"/>
  <c r="I123" i="1" s="1"/>
  <c r="J123" i="1" s="1"/>
  <c r="E124" i="1"/>
  <c r="F124" i="1" s="1"/>
  <c r="H124" i="1" s="1"/>
  <c r="I124" i="1" s="1"/>
  <c r="J124" i="1" s="1"/>
  <c r="E125" i="1"/>
  <c r="F125" i="1" s="1"/>
  <c r="H125" i="1" s="1"/>
  <c r="I125" i="1" s="1"/>
  <c r="J125" i="1" s="1"/>
  <c r="E126" i="1"/>
  <c r="F126" i="1" s="1"/>
  <c r="H126" i="1" s="1"/>
  <c r="I126" i="1" s="1"/>
  <c r="J126" i="1" s="1"/>
  <c r="E127" i="1"/>
  <c r="F127" i="1" s="1"/>
  <c r="H127" i="1" s="1"/>
  <c r="I127" i="1" s="1"/>
  <c r="J127" i="1" s="1"/>
  <c r="E128" i="1"/>
  <c r="F128" i="1" s="1"/>
  <c r="H128" i="1" s="1"/>
  <c r="I128" i="1" s="1"/>
  <c r="J128" i="1" s="1"/>
  <c r="F107" i="1"/>
  <c r="S69" i="1"/>
  <c r="E86" i="1"/>
  <c r="E87" i="1"/>
  <c r="F87" i="1" s="1"/>
  <c r="H87" i="1" s="1"/>
  <c r="I87" i="1" s="1"/>
  <c r="J87" i="1" s="1"/>
  <c r="E88" i="1"/>
  <c r="E89" i="1"/>
  <c r="E90" i="1"/>
  <c r="H90" i="1" s="1"/>
  <c r="I90" i="1" s="1"/>
  <c r="J90" i="1" s="1"/>
  <c r="E91" i="1"/>
  <c r="E92" i="1"/>
  <c r="F92" i="1" s="1"/>
  <c r="H92" i="1" s="1"/>
  <c r="I92" i="1" s="1"/>
  <c r="J92" i="1" s="1"/>
  <c r="E93" i="1"/>
  <c r="F93" i="1" s="1"/>
  <c r="H93" i="1" s="1"/>
  <c r="I93" i="1" s="1"/>
  <c r="J93" i="1" s="1"/>
  <c r="E94" i="1"/>
  <c r="F94" i="1" s="1"/>
  <c r="H94" i="1" s="1"/>
  <c r="I94" i="1" s="1"/>
  <c r="J94" i="1" s="1"/>
  <c r="E95" i="1"/>
  <c r="F95" i="1" s="1"/>
  <c r="H95" i="1" s="1"/>
  <c r="I95" i="1" s="1"/>
  <c r="J95" i="1" s="1"/>
  <c r="E96" i="1"/>
  <c r="F96" i="1" s="1"/>
  <c r="H96" i="1" s="1"/>
  <c r="I96" i="1" s="1"/>
  <c r="J96" i="1" s="1"/>
  <c r="E97" i="1"/>
  <c r="F97" i="1" s="1"/>
  <c r="H97" i="1" s="1"/>
  <c r="I97" i="1" s="1"/>
  <c r="J97" i="1" s="1"/>
  <c r="E98" i="1"/>
  <c r="F98" i="1" s="1"/>
  <c r="H98" i="1" s="1"/>
  <c r="I98" i="1" s="1"/>
  <c r="J98" i="1" s="1"/>
  <c r="E99" i="1"/>
  <c r="E100" i="1"/>
  <c r="F100" i="1" s="1"/>
  <c r="H100" i="1" s="1"/>
  <c r="I100" i="1" s="1"/>
  <c r="J100" i="1" s="1"/>
  <c r="E101" i="1"/>
  <c r="F101" i="1" s="1"/>
  <c r="H101" i="1" s="1"/>
  <c r="I101" i="1" s="1"/>
  <c r="J101" i="1" s="1"/>
  <c r="E102" i="1"/>
  <c r="F102" i="1" s="1"/>
  <c r="H102" i="1" s="1"/>
  <c r="I102" i="1" s="1"/>
  <c r="J102" i="1" s="1"/>
  <c r="E103" i="1"/>
  <c r="F103" i="1" s="1"/>
  <c r="H103" i="1" s="1"/>
  <c r="I103" i="1" s="1"/>
  <c r="J103" i="1" s="1"/>
  <c r="E104" i="1"/>
  <c r="F104" i="1" s="1"/>
  <c r="H104" i="1" s="1"/>
  <c r="I104" i="1" s="1"/>
  <c r="J104" i="1" s="1"/>
  <c r="E105" i="1"/>
  <c r="F105" i="1" s="1"/>
  <c r="H105" i="1" s="1"/>
  <c r="I105" i="1" s="1"/>
  <c r="J105" i="1" s="1"/>
  <c r="E106" i="1"/>
  <c r="H88" i="1"/>
  <c r="I88" i="1" s="1"/>
  <c r="J88" i="1" s="1"/>
  <c r="F89" i="1"/>
  <c r="H89" i="1" s="1"/>
  <c r="I89" i="1" s="1"/>
  <c r="J89" i="1" s="1"/>
  <c r="F91" i="1"/>
  <c r="H91" i="1" s="1"/>
  <c r="I91" i="1" s="1"/>
  <c r="J91" i="1" s="1"/>
  <c r="F99" i="1"/>
  <c r="H99" i="1" s="1"/>
  <c r="I99" i="1" s="1"/>
  <c r="J99" i="1" s="1"/>
  <c r="G105" i="1"/>
  <c r="G106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F86" i="1"/>
  <c r="H86" i="1" s="1"/>
  <c r="I86" i="1" s="1"/>
  <c r="J86" i="1" s="1"/>
  <c r="F85" i="1"/>
  <c r="H85" i="1"/>
  <c r="I85" i="1" s="1"/>
  <c r="J85" i="1" s="1"/>
  <c r="S58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1" i="1"/>
  <c r="J82" i="1"/>
  <c r="J83" i="1"/>
  <c r="J8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1" i="1"/>
  <c r="I82" i="1"/>
  <c r="I83" i="1"/>
  <c r="I8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I80" i="1" s="1"/>
  <c r="J80" i="1" s="1"/>
  <c r="H81" i="1"/>
  <c r="H82" i="1"/>
  <c r="H83" i="1"/>
  <c r="H8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E65" i="1"/>
  <c r="F65" i="1" s="1"/>
  <c r="E66" i="1"/>
  <c r="F66" i="1" s="1"/>
  <c r="E67" i="1"/>
  <c r="E68" i="1"/>
  <c r="E69" i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E78" i="1"/>
  <c r="E79" i="1"/>
  <c r="E80" i="1"/>
  <c r="E81" i="1"/>
  <c r="F81" i="1" s="1"/>
  <c r="E82" i="1"/>
  <c r="F82" i="1" s="1"/>
  <c r="E83" i="1"/>
  <c r="F83" i="1" s="1"/>
  <c r="E84" i="1"/>
  <c r="F84" i="1" s="1"/>
  <c r="E85" i="1"/>
  <c r="F77" i="1"/>
  <c r="F78" i="1"/>
  <c r="F79" i="1"/>
  <c r="F67" i="1"/>
  <c r="F68" i="1"/>
  <c r="F69" i="1"/>
  <c r="S46" i="1"/>
  <c r="I59" i="1"/>
  <c r="J59" i="1" s="1"/>
  <c r="H56" i="1"/>
  <c r="I56" i="1" s="1"/>
  <c r="J56" i="1" s="1"/>
  <c r="H57" i="1"/>
  <c r="I57" i="1" s="1"/>
  <c r="J57" i="1" s="1"/>
  <c r="H58" i="1"/>
  <c r="I58" i="1" s="1"/>
  <c r="J58" i="1" s="1"/>
  <c r="H59" i="1"/>
  <c r="H60" i="1"/>
  <c r="I60" i="1" s="1"/>
  <c r="J60" i="1" s="1"/>
  <c r="H61" i="1"/>
  <c r="I61" i="1" s="1"/>
  <c r="J61" i="1" s="1"/>
  <c r="H63" i="1"/>
  <c r="I63" i="1" s="1"/>
  <c r="J63" i="1" s="1"/>
  <c r="H64" i="1"/>
  <c r="I64" i="1" s="1"/>
  <c r="J64" i="1" s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E48" i="1"/>
  <c r="F48" i="1" s="1"/>
  <c r="E49" i="1"/>
  <c r="F49" i="1" s="1"/>
  <c r="E50" i="1"/>
  <c r="F50" i="1" s="1"/>
  <c r="H50" i="1" s="1"/>
  <c r="I50" i="1" s="1"/>
  <c r="J50" i="1" s="1"/>
  <c r="E51" i="1"/>
  <c r="F51" i="1" s="1"/>
  <c r="H51" i="1" s="1"/>
  <c r="I51" i="1" s="1"/>
  <c r="J51" i="1" s="1"/>
  <c r="E52" i="1"/>
  <c r="F52" i="1" s="1"/>
  <c r="H52" i="1" s="1"/>
  <c r="I52" i="1" s="1"/>
  <c r="J52" i="1" s="1"/>
  <c r="E53" i="1"/>
  <c r="F53" i="1" s="1"/>
  <c r="H53" i="1" s="1"/>
  <c r="I53" i="1" s="1"/>
  <c r="J53" i="1" s="1"/>
  <c r="E54" i="1"/>
  <c r="F54" i="1" s="1"/>
  <c r="H54" i="1" s="1"/>
  <c r="I54" i="1" s="1"/>
  <c r="J54" i="1" s="1"/>
  <c r="E55" i="1"/>
  <c r="F55" i="1" s="1"/>
  <c r="H55" i="1" s="1"/>
  <c r="I55" i="1" s="1"/>
  <c r="J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H62" i="1" s="1"/>
  <c r="I62" i="1" s="1"/>
  <c r="J62" i="1" s="1"/>
  <c r="E63" i="1"/>
  <c r="F63" i="1" s="1"/>
  <c r="E64" i="1"/>
  <c r="F64" i="1" s="1"/>
  <c r="F45" i="1"/>
  <c r="H45" i="1" s="1"/>
  <c r="I45" i="1" s="1"/>
  <c r="J45" i="1" s="1"/>
  <c r="M45" i="1" s="1"/>
  <c r="F46" i="1"/>
  <c r="F47" i="1"/>
  <c r="F44" i="1"/>
  <c r="H44" i="1"/>
  <c r="I44" i="1" s="1"/>
  <c r="J44" i="1" s="1"/>
  <c r="M44" i="1" s="1"/>
  <c r="S30" i="1"/>
  <c r="M31" i="1"/>
  <c r="L31" i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J42" i="1"/>
  <c r="J43" i="1"/>
  <c r="I42" i="1"/>
  <c r="I43" i="1"/>
  <c r="H42" i="1"/>
  <c r="H43" i="1"/>
  <c r="E42" i="1"/>
  <c r="E43" i="1"/>
  <c r="E44" i="1"/>
  <c r="E45" i="1"/>
  <c r="E46" i="1"/>
  <c r="E47" i="1"/>
  <c r="G41" i="1"/>
  <c r="G42" i="1"/>
  <c r="G43" i="1"/>
  <c r="G44" i="1"/>
  <c r="G45" i="1"/>
  <c r="F40" i="1"/>
  <c r="H40" i="1" s="1"/>
  <c r="I40" i="1" s="1"/>
  <c r="J40" i="1" s="1"/>
  <c r="F41" i="1"/>
  <c r="F42" i="1"/>
  <c r="F43" i="1"/>
  <c r="I37" i="1"/>
  <c r="H37" i="1"/>
  <c r="J36" i="1"/>
  <c r="J37" i="1"/>
  <c r="G36" i="1"/>
  <c r="H36" i="1" s="1"/>
  <c r="I36" i="1" s="1"/>
  <c r="G37" i="1"/>
  <c r="G38" i="1"/>
  <c r="G39" i="1"/>
  <c r="G40" i="1"/>
  <c r="F36" i="1"/>
  <c r="F37" i="1"/>
  <c r="E37" i="1"/>
  <c r="E38" i="1"/>
  <c r="F38" i="1" s="1"/>
  <c r="H38" i="1" s="1"/>
  <c r="I38" i="1" s="1"/>
  <c r="J38" i="1" s="1"/>
  <c r="E39" i="1"/>
  <c r="F39" i="1" s="1"/>
  <c r="H39" i="1" s="1"/>
  <c r="I39" i="1" s="1"/>
  <c r="J39" i="1" s="1"/>
  <c r="E40" i="1"/>
  <c r="E41" i="1"/>
  <c r="I31" i="1"/>
  <c r="J31" i="1" s="1"/>
  <c r="H31" i="1"/>
  <c r="H32" i="1"/>
  <c r="I32" i="1" s="1"/>
  <c r="J32" i="1" s="1"/>
  <c r="H34" i="1"/>
  <c r="I34" i="1" s="1"/>
  <c r="J34" i="1" s="1"/>
  <c r="G29" i="1"/>
  <c r="G30" i="1"/>
  <c r="G31" i="1"/>
  <c r="G32" i="1"/>
  <c r="G33" i="1"/>
  <c r="G34" i="1"/>
  <c r="G35" i="1"/>
  <c r="E31" i="1"/>
  <c r="E29" i="1"/>
  <c r="F29" i="1" s="1"/>
  <c r="E30" i="1"/>
  <c r="F30" i="1" s="1"/>
  <c r="H30" i="1" s="1"/>
  <c r="I30" i="1" s="1"/>
  <c r="J30" i="1" s="1"/>
  <c r="F31" i="1"/>
  <c r="E32" i="1"/>
  <c r="F32" i="1" s="1"/>
  <c r="E33" i="1"/>
  <c r="F33" i="1" s="1"/>
  <c r="H33" i="1" s="1"/>
  <c r="I33" i="1" s="1"/>
  <c r="J33" i="1" s="1"/>
  <c r="E34" i="1"/>
  <c r="E35" i="1"/>
  <c r="F35" i="1" s="1"/>
  <c r="H35" i="1" s="1"/>
  <c r="I35" i="1" s="1"/>
  <c r="J35" i="1" s="1"/>
  <c r="E36" i="1"/>
  <c r="F24" i="1"/>
  <c r="H24" i="1" s="1"/>
  <c r="I24" i="1" s="1"/>
  <c r="J24" i="1" s="1"/>
  <c r="F25" i="1"/>
  <c r="F34" i="1"/>
  <c r="F23" i="1"/>
  <c r="H23" i="1" s="1"/>
  <c r="I23" i="1" s="1"/>
  <c r="J23" i="1" s="1"/>
  <c r="M23" i="1" s="1"/>
  <c r="S18" i="1"/>
  <c r="F7" i="1"/>
  <c r="G20" i="1"/>
  <c r="G21" i="1"/>
  <c r="G22" i="1"/>
  <c r="G23" i="1"/>
  <c r="G24" i="1"/>
  <c r="G25" i="1"/>
  <c r="G26" i="1"/>
  <c r="G27" i="1"/>
  <c r="G28" i="1"/>
  <c r="F19" i="1"/>
  <c r="F22" i="1"/>
  <c r="H22" i="1" s="1"/>
  <c r="I22" i="1" s="1"/>
  <c r="J22" i="1" s="1"/>
  <c r="H25" i="1"/>
  <c r="I25" i="1" s="1"/>
  <c r="J25" i="1" s="1"/>
  <c r="E19" i="1"/>
  <c r="E20" i="1"/>
  <c r="H20" i="1" s="1"/>
  <c r="I20" i="1" s="1"/>
  <c r="J20" i="1" s="1"/>
  <c r="E21" i="1"/>
  <c r="F21" i="1" s="1"/>
  <c r="H21" i="1" s="1"/>
  <c r="I21" i="1" s="1"/>
  <c r="J21" i="1" s="1"/>
  <c r="M21" i="1" s="1"/>
  <c r="E22" i="1"/>
  <c r="E23" i="1"/>
  <c r="E24" i="1"/>
  <c r="E25" i="1"/>
  <c r="E26" i="1"/>
  <c r="F26" i="1" s="1"/>
  <c r="H26" i="1" s="1"/>
  <c r="I26" i="1" s="1"/>
  <c r="J26" i="1" s="1"/>
  <c r="E27" i="1"/>
  <c r="F27" i="1" s="1"/>
  <c r="H27" i="1" s="1"/>
  <c r="I27" i="1" s="1"/>
  <c r="J27" i="1" s="1"/>
  <c r="E28" i="1"/>
  <c r="F28" i="1" s="1"/>
  <c r="H28" i="1" s="1"/>
  <c r="I28" i="1" s="1"/>
  <c r="J28" i="1" s="1"/>
  <c r="M13" i="1"/>
  <c r="E8" i="1"/>
  <c r="F8" i="1" s="1"/>
  <c r="H8" i="1" s="1"/>
  <c r="E9" i="1"/>
  <c r="F9" i="1" s="1"/>
  <c r="H9" i="1" s="1"/>
  <c r="E10" i="1"/>
  <c r="F10" i="1" s="1"/>
  <c r="H10" i="1" s="1"/>
  <c r="I10" i="1" s="1"/>
  <c r="E11" i="1"/>
  <c r="E12" i="1"/>
  <c r="E13" i="1"/>
  <c r="F13" i="1" s="1"/>
  <c r="H13" i="1" s="1"/>
  <c r="I13" i="1" s="1"/>
  <c r="J13" i="1" s="1"/>
  <c r="E14" i="1"/>
  <c r="F14" i="1" s="1"/>
  <c r="H14" i="1" s="1"/>
  <c r="I14" i="1" s="1"/>
  <c r="J14" i="1" s="1"/>
  <c r="M14" i="1" s="1"/>
  <c r="E15" i="1"/>
  <c r="F15" i="1" s="1"/>
  <c r="H15" i="1" s="1"/>
  <c r="E16" i="1"/>
  <c r="F16" i="1" s="1"/>
  <c r="H16" i="1" s="1"/>
  <c r="E17" i="1"/>
  <c r="H17" i="1" s="1"/>
  <c r="E18" i="1"/>
  <c r="E7" i="1"/>
  <c r="H7" i="1" s="1"/>
  <c r="E6" i="1"/>
  <c r="F6" i="1" s="1"/>
  <c r="H6" i="1" s="1"/>
  <c r="E5" i="1"/>
  <c r="F5" i="1" s="1"/>
  <c r="H5" i="1" s="1"/>
  <c r="H19" i="1"/>
  <c r="I2" i="1"/>
  <c r="H2" i="1"/>
  <c r="F11" i="1"/>
  <c r="H11" i="1" s="1"/>
  <c r="F12" i="1"/>
  <c r="H12" i="1" s="1"/>
  <c r="F2" i="1"/>
  <c r="H18" i="1"/>
  <c r="S5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5" i="1"/>
  <c r="L6" i="1"/>
  <c r="L7" i="1"/>
  <c r="L3" i="1"/>
  <c r="L4" i="1"/>
  <c r="L2" i="1"/>
  <c r="E3" i="1"/>
  <c r="F3" i="1" s="1"/>
  <c r="H3" i="1" s="1"/>
  <c r="E4" i="1"/>
  <c r="F4" i="1" s="1"/>
  <c r="H4" i="1" s="1"/>
  <c r="E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" i="1"/>
  <c r="H106" i="1" l="1"/>
  <c r="I106" i="1" s="1"/>
  <c r="J106" i="1" s="1"/>
  <c r="H49" i="1"/>
  <c r="I49" i="1" s="1"/>
  <c r="J49" i="1" s="1"/>
  <c r="H48" i="1"/>
  <c r="I48" i="1" s="1"/>
  <c r="J48" i="1" s="1"/>
  <c r="H46" i="1"/>
  <c r="I46" i="1" s="1"/>
  <c r="J46" i="1" s="1"/>
  <c r="M46" i="1" s="1"/>
  <c r="H47" i="1"/>
  <c r="I47" i="1" s="1"/>
  <c r="J47" i="1" s="1"/>
  <c r="M47" i="1" s="1"/>
  <c r="M30" i="1"/>
  <c r="M28" i="1"/>
  <c r="M27" i="1"/>
  <c r="M26" i="1"/>
  <c r="M24" i="1"/>
  <c r="M25" i="1"/>
  <c r="H41" i="1"/>
  <c r="I41" i="1" s="1"/>
  <c r="J41" i="1" s="1"/>
  <c r="H29" i="1"/>
  <c r="I29" i="1" s="1"/>
  <c r="J29" i="1" s="1"/>
  <c r="M29" i="1" s="1"/>
  <c r="M22" i="1"/>
  <c r="M20" i="1"/>
  <c r="I18" i="1"/>
  <c r="J18" i="1" s="1"/>
  <c r="M18" i="1" s="1"/>
  <c r="I17" i="1"/>
  <c r="J17" i="1" s="1"/>
  <c r="M17" i="1" s="1"/>
  <c r="I16" i="1"/>
  <c r="J16" i="1" s="1"/>
  <c r="M16" i="1" s="1"/>
  <c r="I15" i="1"/>
  <c r="J15" i="1" s="1"/>
  <c r="M15" i="1" s="1"/>
  <c r="J10" i="1"/>
  <c r="M10" i="1" s="1"/>
  <c r="I9" i="1"/>
  <c r="J9" i="1" s="1"/>
  <c r="M9" i="1" s="1"/>
  <c r="I19" i="1"/>
  <c r="J19" i="1" s="1"/>
  <c r="M19" i="1" s="1"/>
  <c r="I12" i="1"/>
  <c r="J12" i="1" s="1"/>
  <c r="M12" i="1" s="1"/>
  <c r="I11" i="1"/>
  <c r="J11" i="1" s="1"/>
  <c r="M11" i="1" s="1"/>
  <c r="I8" i="1"/>
  <c r="J8" i="1" s="1"/>
  <c r="M8" i="1" s="1"/>
  <c r="I7" i="1"/>
  <c r="J7" i="1" s="1"/>
  <c r="M7" i="1" s="1"/>
  <c r="I6" i="1"/>
  <c r="J6" i="1" s="1"/>
  <c r="M6" i="1" s="1"/>
  <c r="I5" i="1"/>
  <c r="J5" i="1" s="1"/>
  <c r="M5" i="1" s="1"/>
  <c r="J2" i="1"/>
  <c r="M2" i="1" s="1"/>
  <c r="I4" i="1"/>
  <c r="J4" i="1" s="1"/>
  <c r="I3" i="1"/>
  <c r="J3" i="1" s="1"/>
  <c r="M3" i="1" s="1"/>
  <c r="M4" i="1"/>
</calcChain>
</file>

<file path=xl/sharedStrings.xml><?xml version="1.0" encoding="utf-8"?>
<sst xmlns="http://schemas.openxmlformats.org/spreadsheetml/2006/main" count="191" uniqueCount="172">
  <si>
    <t>Name</t>
  </si>
  <si>
    <t>M1152 1</t>
  </si>
  <si>
    <t>M1152 2</t>
  </si>
  <si>
    <t>M1152 3</t>
  </si>
  <si>
    <t>Average</t>
  </si>
  <si>
    <t>extinction coefficient x path length</t>
  </si>
  <si>
    <t>M1152+ 1</t>
  </si>
  <si>
    <t>M1152+ 2</t>
  </si>
  <si>
    <t>M1152+ 3</t>
  </si>
  <si>
    <t>Dry weight g</t>
  </si>
  <si>
    <t>divide by 0.001 l (g)</t>
  </si>
  <si>
    <t>Dry weight mg</t>
  </si>
  <si>
    <t>Act/mg</t>
  </si>
  <si>
    <t>Y1 62 21 1</t>
  </si>
  <si>
    <t>Y1 62 21 2</t>
  </si>
  <si>
    <t>Y1 62 21 3</t>
  </si>
  <si>
    <t>Average-blank</t>
  </si>
  <si>
    <t>Blank Plate 1</t>
  </si>
  <si>
    <t>Y2 188 6 1</t>
  </si>
  <si>
    <t>Y2 188 6 2</t>
  </si>
  <si>
    <t>Y2 188 6 3</t>
  </si>
  <si>
    <t>Y2 188 8 1</t>
  </si>
  <si>
    <t>Y2 188 8 2</t>
  </si>
  <si>
    <t>Y2 188 8 3</t>
  </si>
  <si>
    <t>Y1 188 24 1</t>
  </si>
  <si>
    <t>Y1 188 24 2</t>
  </si>
  <si>
    <t>Y1 188 24 3</t>
  </si>
  <si>
    <t>Y3 188 22 1</t>
  </si>
  <si>
    <t>Y3 188 22 2</t>
  </si>
  <si>
    <t>Y3 188 22 3</t>
  </si>
  <si>
    <t>Y1 188 15 1</t>
  </si>
  <si>
    <t>Y1 188 15 2</t>
  </si>
  <si>
    <t>Y1 188 15 3</t>
  </si>
  <si>
    <t>Blank Plate 2</t>
  </si>
  <si>
    <t>Y3 126 8 1</t>
  </si>
  <si>
    <t>Y3 126 8 2</t>
  </si>
  <si>
    <t>Y3 126 8 3</t>
  </si>
  <si>
    <t>Y1 126 6 1</t>
  </si>
  <si>
    <t>Y1 126 6 2</t>
  </si>
  <si>
    <t>Y1 126 6 3</t>
  </si>
  <si>
    <t>Y2 188 23 1</t>
  </si>
  <si>
    <t>Y2 188 23 2</t>
  </si>
  <si>
    <t>Y2 188 23 3</t>
  </si>
  <si>
    <t>Y3 188 10 1</t>
  </si>
  <si>
    <t>Y3 188 10 2</t>
  </si>
  <si>
    <t>Y3 188 10 3</t>
  </si>
  <si>
    <t>Y2 126 12 1</t>
  </si>
  <si>
    <t>Y2 126 12 2</t>
  </si>
  <si>
    <t>Y2 126 12 3</t>
  </si>
  <si>
    <t>Y3 188 21 1</t>
  </si>
  <si>
    <t>Y3 188 21 2</t>
  </si>
  <si>
    <t>Y3 188 21 3</t>
  </si>
  <si>
    <t>Y1 188 5 1</t>
  </si>
  <si>
    <t>Y1 188 5 2</t>
  </si>
  <si>
    <t>Y1 188 5 3</t>
  </si>
  <si>
    <t>0.09533</t>
  </si>
  <si>
    <t>0.09636</t>
  </si>
  <si>
    <t>0.09468</t>
  </si>
  <si>
    <t>0.09486</t>
  </si>
  <si>
    <t>0.09631</t>
  </si>
  <si>
    <t>0.09483</t>
  </si>
  <si>
    <t>0.09532</t>
  </si>
  <si>
    <t>0.09624</t>
  </si>
  <si>
    <t>0.09400</t>
  </si>
  <si>
    <t>0.09716</t>
  </si>
  <si>
    <t>0.09519</t>
  </si>
  <si>
    <t>0.09525</t>
  </si>
  <si>
    <t>0.09606</t>
  </si>
  <si>
    <t>0.09457</t>
  </si>
  <si>
    <t>0.09492</t>
  </si>
  <si>
    <t>0.09491</t>
  </si>
  <si>
    <t>0.09517</t>
  </si>
  <si>
    <t>0.09466</t>
  </si>
  <si>
    <t>0.09611</t>
  </si>
  <si>
    <t>0.09599</t>
  </si>
  <si>
    <t>Y3 62 27 1</t>
  </si>
  <si>
    <t>Y3 62 27 2</t>
  </si>
  <si>
    <t>Y3 62 27 3</t>
  </si>
  <si>
    <t>Y2 126 6 1</t>
  </si>
  <si>
    <t>Y2 126 6 2</t>
  </si>
  <si>
    <t>Y2 126 6 3</t>
  </si>
  <si>
    <t>Y1 126 24 1</t>
  </si>
  <si>
    <t>Y1 126 24 2</t>
  </si>
  <si>
    <t>Y1 126 24 3</t>
  </si>
  <si>
    <t>Y3 126 17 1</t>
  </si>
  <si>
    <t>Y3 126 17 2</t>
  </si>
  <si>
    <t>Y3 126 17 3</t>
  </si>
  <si>
    <t>Y1 126 14 1</t>
  </si>
  <si>
    <t>Y1 126 14 2</t>
  </si>
  <si>
    <t>Y1 126 14 3</t>
  </si>
  <si>
    <t>Y3 126 22 1</t>
  </si>
  <si>
    <t>Y3 126 22 2</t>
  </si>
  <si>
    <t>Y3 126 22 3</t>
  </si>
  <si>
    <t>Blank Plate 3</t>
  </si>
  <si>
    <t>Blank Plate 4</t>
  </si>
  <si>
    <t>Y1 62 14 1</t>
  </si>
  <si>
    <t>Y1 62 14 2</t>
  </si>
  <si>
    <t>Y1 62 14 3</t>
  </si>
  <si>
    <t>Y2 62 13 1</t>
  </si>
  <si>
    <t>Y2 62 13 2</t>
  </si>
  <si>
    <t>Y2 62 13 3</t>
  </si>
  <si>
    <t>Y2 62 25 1</t>
  </si>
  <si>
    <t>Y2 62 25 2</t>
  </si>
  <si>
    <t>Y2 62 25 3</t>
  </si>
  <si>
    <t>Y3 62 3 1</t>
  </si>
  <si>
    <t>Y3 62 3 2</t>
  </si>
  <si>
    <t>Y3 62 3 3</t>
  </si>
  <si>
    <t>Y1 62 2 1</t>
  </si>
  <si>
    <t>Y1 62 2 2</t>
  </si>
  <si>
    <t>Y1 62 2 3</t>
  </si>
  <si>
    <t>Y1 62 3 1</t>
  </si>
  <si>
    <t>Y1 62 3 2</t>
  </si>
  <si>
    <t>Y1 62 3 3</t>
  </si>
  <si>
    <t>Y1 62 19 1</t>
  </si>
  <si>
    <t>Y1 62 19 2</t>
  </si>
  <si>
    <t>Y1 62 19 3</t>
  </si>
  <si>
    <t>Blank Plate 5</t>
  </si>
  <si>
    <t>Y2 188 5 1</t>
  </si>
  <si>
    <t>Y2 188 5 2</t>
  </si>
  <si>
    <t>Y2 188 5 3</t>
  </si>
  <si>
    <t>Y2 188 4 1</t>
  </si>
  <si>
    <t>Y2 188 4 2</t>
  </si>
  <si>
    <t>Y2 188 4 3</t>
  </si>
  <si>
    <t>Y2 62 1 1</t>
  </si>
  <si>
    <t>Y2 62 1 2</t>
  </si>
  <si>
    <t>Y2 62 1 3</t>
  </si>
  <si>
    <t>Y2 188 17 1</t>
  </si>
  <si>
    <t>Y2 188 17 2</t>
  </si>
  <si>
    <t>Y2 188 17 3</t>
  </si>
  <si>
    <t>Y1 126 15 1</t>
  </si>
  <si>
    <t>Y1 126 15 2</t>
  </si>
  <si>
    <t>Y1 126 15 3</t>
  </si>
  <si>
    <t>Blank Plate 6</t>
  </si>
  <si>
    <t>Y1 188 16 1</t>
  </si>
  <si>
    <t>Y1 188 16 2</t>
  </si>
  <si>
    <t>Y1 188 16 3</t>
  </si>
  <si>
    <t>Y1 62 1 1</t>
  </si>
  <si>
    <t>Y1 62 1 2</t>
  </si>
  <si>
    <t>Y1 62 1 3</t>
  </si>
  <si>
    <t>Y1 188 26 1</t>
  </si>
  <si>
    <t>Y1 188 26 2</t>
  </si>
  <si>
    <t>Y1 188 26 3</t>
  </si>
  <si>
    <t>Y1 188 2 1</t>
  </si>
  <si>
    <t>Y1 188 2 2</t>
  </si>
  <si>
    <t>Y1 188 2 3</t>
  </si>
  <si>
    <t>Y1 126 12 1</t>
  </si>
  <si>
    <t>Y1 126 12 2</t>
  </si>
  <si>
    <t>Y1 126 12 3</t>
  </si>
  <si>
    <t>Y1 126 16 1</t>
  </si>
  <si>
    <t>Y1 126 16 2</t>
  </si>
  <si>
    <t>Y1 126 16 3</t>
  </si>
  <si>
    <t>Blank Plate 7</t>
  </si>
  <si>
    <t>Y2 62 5 1</t>
  </si>
  <si>
    <t>Y2 62 5 2</t>
  </si>
  <si>
    <t>Y2 62 5 3</t>
  </si>
  <si>
    <t>Y1 62 6 1</t>
  </si>
  <si>
    <t>Y1 62 6 2</t>
  </si>
  <si>
    <t>Y1 62 6 3</t>
  </si>
  <si>
    <t>Y2 62 17 1</t>
  </si>
  <si>
    <t>Y2 62 17 2</t>
  </si>
  <si>
    <t>Y2 62 17 3</t>
  </si>
  <si>
    <t>Y3 126 15 1</t>
  </si>
  <si>
    <t>Y3 126 15 2</t>
  </si>
  <si>
    <t>Y3 126 15 3</t>
  </si>
  <si>
    <t>Y1 188 25 1</t>
  </si>
  <si>
    <t>Y1 188 25 2</t>
  </si>
  <si>
    <t>Y1 188 25 3</t>
  </si>
  <si>
    <t>Y3 126 2 1</t>
  </si>
  <si>
    <t>Y3 126 2 2</t>
  </si>
  <si>
    <t>Y3 126 2 3</t>
  </si>
  <si>
    <t>mol</t>
  </si>
  <si>
    <t>titre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</si>
</sst>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33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0" fillId="5" borderId="0" xfId="0" applyFill="1"/>
    <xf numFmtId="0" fontId="2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CC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8"/>
  <sheetViews>
    <sheetView tabSelected="1" topLeftCell="A111" zoomScale="63" zoomScaleNormal="72" workbookViewId="0">
      <selection activeCell="H128" sqref="H128:H148"/>
    </sheetView>
  </sheetViews>
  <sheetFormatPr defaultRowHeight="14.25" x14ac:dyDescent="0.45"/>
  <cols>
    <col min="2" max="2" width="9.1328125" bestFit="1" customWidth="1"/>
    <col min="3" max="5" width="9.19921875" bestFit="1" customWidth="1"/>
    <col min="6" max="6" width="12.33203125" bestFit="1" customWidth="1"/>
    <col min="7" max="7" width="9.19921875" bestFit="1" customWidth="1"/>
    <col min="8" max="9" width="12.33203125" bestFit="1" customWidth="1"/>
    <col min="10" max="13" width="9.19921875" bestFit="1" customWidth="1"/>
    <col min="16" max="19" width="9.19921875" bestFit="1" customWidth="1"/>
    <col min="22" max="24" width="9.1328125" bestFit="1" customWidth="1"/>
  </cols>
  <sheetData>
    <row r="1" spans="1:19" ht="57" x14ac:dyDescent="0.45">
      <c r="A1" s="2" t="s">
        <v>0</v>
      </c>
      <c r="B1" s="2">
        <v>1</v>
      </c>
      <c r="C1" s="2">
        <v>2</v>
      </c>
      <c r="D1" s="2">
        <v>3</v>
      </c>
      <c r="E1" s="2" t="s">
        <v>4</v>
      </c>
      <c r="F1" t="s">
        <v>16</v>
      </c>
      <c r="G1" s="2" t="s">
        <v>5</v>
      </c>
      <c r="H1" s="2" t="s">
        <v>171</v>
      </c>
      <c r="I1" s="2" t="s">
        <v>10</v>
      </c>
      <c r="J1" s="2" t="s">
        <v>170</v>
      </c>
      <c r="K1" s="2" t="s">
        <v>9</v>
      </c>
      <c r="L1" s="2" t="s">
        <v>11</v>
      </c>
      <c r="M1" s="2" t="s">
        <v>12</v>
      </c>
      <c r="O1" s="3" t="s">
        <v>17</v>
      </c>
      <c r="P1" s="3"/>
      <c r="Q1" s="3"/>
      <c r="R1" s="3"/>
      <c r="S1" s="3" t="s">
        <v>4</v>
      </c>
    </row>
    <row r="2" spans="1:19" x14ac:dyDescent="0.45">
      <c r="A2" s="3" t="s">
        <v>6</v>
      </c>
      <c r="B2" s="1">
        <v>0.107</v>
      </c>
      <c r="C2" s="1">
        <v>0.1042</v>
      </c>
      <c r="D2" s="1">
        <v>0.1081</v>
      </c>
      <c r="E2">
        <f>AVERAGE(B2:D2)</f>
        <v>0.10643333333333334</v>
      </c>
      <c r="F2">
        <f>E2-0.0445222222222222</f>
        <v>6.1911111111111139E-2</v>
      </c>
      <c r="G2">
        <f>25320*0.5</f>
        <v>12660</v>
      </c>
      <c r="H2">
        <f>F2/G2</f>
        <v>4.8902931367386365E-6</v>
      </c>
      <c r="I2">
        <f>H2/0.001</f>
        <v>4.8902931367386365E-3</v>
      </c>
      <c r="J2">
        <f>I2*1000</f>
        <v>4.8902931367386362</v>
      </c>
      <c r="K2">
        <v>1.8899999999999889E-3</v>
      </c>
      <c r="L2">
        <f>K2*1000</f>
        <v>1.889999999999989</v>
      </c>
      <c r="M2">
        <f>J2/L2</f>
        <v>2.5874566861051136</v>
      </c>
      <c r="O2" s="3"/>
      <c r="P2" s="4">
        <v>4.3099999999999999E-2</v>
      </c>
      <c r="Q2" s="4">
        <v>4.7699999999999999E-2</v>
      </c>
      <c r="R2" s="4">
        <v>4.48E-2</v>
      </c>
      <c r="S2" s="3"/>
    </row>
    <row r="3" spans="1:19" x14ac:dyDescent="0.45">
      <c r="A3" s="3" t="s">
        <v>7</v>
      </c>
      <c r="B3" s="1">
        <v>0.1163</v>
      </c>
      <c r="C3" s="1">
        <v>0.11509999999999999</v>
      </c>
      <c r="D3" s="1">
        <v>0.1177</v>
      </c>
      <c r="E3">
        <f t="shared" ref="E3:E4" si="0">AVERAGE(B3:D3)</f>
        <v>0.11636666666666666</v>
      </c>
      <c r="F3">
        <f t="shared" ref="F3:F22" si="1">E3-0.0445222222222222</f>
        <v>7.1844444444444461E-2</v>
      </c>
      <c r="G3">
        <f t="shared" ref="G3:G66" si="2">25320*0.5</f>
        <v>12660</v>
      </c>
      <c r="H3">
        <f>F3/G3</f>
        <v>5.6749166227839222E-6</v>
      </c>
      <c r="I3">
        <f t="shared" ref="I3:I66" si="3">H3/0.001</f>
        <v>5.674916622783922E-3</v>
      </c>
      <c r="J3">
        <f t="shared" ref="J3:J66" si="4">I3*1000</f>
        <v>5.6749166227839218</v>
      </c>
      <c r="K3">
        <v>1.3999999999999985E-3</v>
      </c>
      <c r="L3">
        <f t="shared" ref="L3:L44" si="5">K3*1000</f>
        <v>1.3999999999999986</v>
      </c>
      <c r="M3">
        <f t="shared" ref="M3:M47" si="6">J3/L3</f>
        <v>4.053511873417091</v>
      </c>
      <c r="O3" s="3"/>
      <c r="P3" s="4">
        <v>4.2799999999999998E-2</v>
      </c>
      <c r="Q3" s="4">
        <v>4.2299999999999997E-2</v>
      </c>
      <c r="R3" s="4">
        <v>4.4900000000000002E-2</v>
      </c>
      <c r="S3" s="3"/>
    </row>
    <row r="4" spans="1:19" x14ac:dyDescent="0.45">
      <c r="A4" s="3" t="s">
        <v>8</v>
      </c>
      <c r="B4" s="1">
        <v>0.1477</v>
      </c>
      <c r="C4" s="1">
        <v>0.14199999999999999</v>
      </c>
      <c r="D4" s="1">
        <v>0.14299999999999999</v>
      </c>
      <c r="E4">
        <f t="shared" si="0"/>
        <v>0.14423333333333332</v>
      </c>
      <c r="F4">
        <f t="shared" si="1"/>
        <v>9.9711111111111125E-2</v>
      </c>
      <c r="G4">
        <f t="shared" si="2"/>
        <v>12660</v>
      </c>
      <c r="H4">
        <f t="shared" ref="H4:H6" si="7">F4/G4</f>
        <v>7.876075127259962E-6</v>
      </c>
      <c r="I4">
        <f t="shared" si="3"/>
        <v>7.876075127259961E-3</v>
      </c>
      <c r="J4">
        <f t="shared" si="4"/>
        <v>7.876075127259961</v>
      </c>
      <c r="K4">
        <v>1.3100000000000056E-3</v>
      </c>
      <c r="L4">
        <f t="shared" si="5"/>
        <v>1.3100000000000056</v>
      </c>
      <c r="M4">
        <f t="shared" si="6"/>
        <v>6.0122710895113949</v>
      </c>
      <c r="O4" s="3"/>
      <c r="P4" s="4">
        <v>4.2900000000000001E-2</v>
      </c>
      <c r="Q4" s="4">
        <v>4.4400000000000002E-2</v>
      </c>
      <c r="R4" s="4">
        <v>4.7800000000000002E-2</v>
      </c>
      <c r="S4" s="3"/>
    </row>
    <row r="5" spans="1:19" x14ac:dyDescent="0.45">
      <c r="A5" s="3" t="s">
        <v>1</v>
      </c>
      <c r="B5">
        <v>4.5600000000000002E-2</v>
      </c>
      <c r="C5">
        <v>4.6899999999999997E-2</v>
      </c>
      <c r="D5">
        <v>4.3700000000000003E-2</v>
      </c>
      <c r="E5">
        <f>AVERAGE(B5:D5)</f>
        <v>4.5399999999999996E-2</v>
      </c>
      <c r="F5">
        <f t="shared" si="1"/>
        <v>8.7777777777779675E-4</v>
      </c>
      <c r="G5">
        <f t="shared" si="2"/>
        <v>12660</v>
      </c>
      <c r="H5">
        <f t="shared" si="7"/>
        <v>6.933473758118458E-8</v>
      </c>
      <c r="I5">
        <f t="shared" si="3"/>
        <v>6.9334737581184576E-5</v>
      </c>
      <c r="J5">
        <f t="shared" si="4"/>
        <v>6.933473758118458E-2</v>
      </c>
      <c r="K5">
        <v>1.4100000000000085E-3</v>
      </c>
      <c r="L5">
        <f t="shared" si="5"/>
        <v>1.4100000000000086</v>
      </c>
      <c r="M5">
        <f t="shared" si="6"/>
        <v>4.917357275261288E-2</v>
      </c>
      <c r="O5" s="3"/>
      <c r="P5" s="3"/>
      <c r="Q5" s="3"/>
      <c r="R5" s="3"/>
      <c r="S5" s="3">
        <f>AVERAGE(P2:R4)</f>
        <v>4.452222222222222E-2</v>
      </c>
    </row>
    <row r="6" spans="1:19" x14ac:dyDescent="0.45">
      <c r="A6" s="3" t="s">
        <v>2</v>
      </c>
      <c r="B6">
        <v>4.6100000000000002E-2</v>
      </c>
      <c r="C6">
        <v>5.0799999999999998E-2</v>
      </c>
      <c r="D6">
        <v>4.99E-2</v>
      </c>
      <c r="E6">
        <f>AVERAGE(B6:D6)</f>
        <v>4.8933333333333329E-2</v>
      </c>
      <c r="F6">
        <f t="shared" si="1"/>
        <v>4.4111111111111295E-3</v>
      </c>
      <c r="G6">
        <f t="shared" si="2"/>
        <v>12660</v>
      </c>
      <c r="H6">
        <f t="shared" si="7"/>
        <v>3.4842899771809872E-7</v>
      </c>
      <c r="I6">
        <f t="shared" si="3"/>
        <v>3.484289977180987E-4</v>
      </c>
      <c r="J6">
        <f t="shared" si="4"/>
        <v>0.34842899771809871</v>
      </c>
      <c r="K6">
        <v>1.6400000000000026E-3</v>
      </c>
      <c r="L6">
        <f t="shared" si="5"/>
        <v>1.6400000000000026</v>
      </c>
      <c r="M6">
        <f t="shared" si="6"/>
        <v>0.21245670592566962</v>
      </c>
    </row>
    <row r="7" spans="1:19" x14ac:dyDescent="0.45">
      <c r="A7" s="3" t="s">
        <v>3</v>
      </c>
      <c r="B7">
        <v>4.4400000000000002E-2</v>
      </c>
      <c r="C7">
        <v>4.3900000000000002E-2</v>
      </c>
      <c r="D7">
        <v>4.4900000000000002E-2</v>
      </c>
      <c r="E7">
        <f>AVERAGE(B7:D7)</f>
        <v>4.4400000000000002E-2</v>
      </c>
      <c r="F7">
        <f>0</f>
        <v>0</v>
      </c>
      <c r="G7">
        <f t="shared" si="2"/>
        <v>12660</v>
      </c>
      <c r="H7">
        <f>F7/G7</f>
        <v>0</v>
      </c>
      <c r="I7">
        <f t="shared" si="3"/>
        <v>0</v>
      </c>
      <c r="J7">
        <f t="shared" si="4"/>
        <v>0</v>
      </c>
      <c r="K7">
        <v>1.0199999999999931E-3</v>
      </c>
      <c r="L7">
        <f t="shared" si="5"/>
        <v>1.0199999999999931</v>
      </c>
      <c r="M7">
        <f t="shared" si="6"/>
        <v>0</v>
      </c>
    </row>
    <row r="8" spans="1:19" x14ac:dyDescent="0.45">
      <c r="A8" s="3" t="s">
        <v>18</v>
      </c>
      <c r="B8">
        <v>4.6600000000000003E-2</v>
      </c>
      <c r="C8">
        <v>4.3799999999999999E-2</v>
      </c>
      <c r="D8">
        <v>4.3900000000000002E-2</v>
      </c>
      <c r="E8">
        <f t="shared" ref="E8:E71" si="8">AVERAGE(B8:D8)</f>
        <v>4.476666666666667E-2</v>
      </c>
      <c r="F8">
        <f>E8-0.0445222222222222</f>
        <v>2.4444444444447072E-4</v>
      </c>
      <c r="G8">
        <f t="shared" si="2"/>
        <v>12660</v>
      </c>
      <c r="H8">
        <f>F8/G8</f>
        <v>1.9308407934002426E-8</v>
      </c>
      <c r="I8">
        <f t="shared" si="3"/>
        <v>1.9308407934002427E-5</v>
      </c>
      <c r="J8">
        <f t="shared" si="4"/>
        <v>1.9308407934002427E-2</v>
      </c>
      <c r="K8">
        <v>1.9799999999999957E-3</v>
      </c>
      <c r="L8">
        <f t="shared" si="5"/>
        <v>1.9799999999999955</v>
      </c>
      <c r="M8">
        <f t="shared" si="6"/>
        <v>9.7517211787891273E-3</v>
      </c>
    </row>
    <row r="9" spans="1:19" x14ac:dyDescent="0.45">
      <c r="A9" s="3" t="s">
        <v>19</v>
      </c>
      <c r="B9">
        <v>4.4999999999999998E-2</v>
      </c>
      <c r="C9">
        <v>4.4299999999999999E-2</v>
      </c>
      <c r="D9">
        <v>4.4499999999999998E-2</v>
      </c>
      <c r="E9">
        <f t="shared" si="8"/>
        <v>4.4599999999999994E-2</v>
      </c>
      <c r="F9">
        <f t="shared" si="1"/>
        <v>7.7777777777794654E-5</v>
      </c>
      <c r="G9">
        <f t="shared" si="2"/>
        <v>12660</v>
      </c>
      <c r="H9">
        <f t="shared" ref="H9:H72" si="9">F9/G9</f>
        <v>6.1435843426378081E-9</v>
      </c>
      <c r="I9">
        <f t="shared" si="3"/>
        <v>6.1435843426378083E-6</v>
      </c>
      <c r="J9">
        <f t="shared" si="4"/>
        <v>6.1435843426378084E-3</v>
      </c>
      <c r="K9">
        <v>1.909999999999995E-3</v>
      </c>
      <c r="L9">
        <f t="shared" si="5"/>
        <v>1.909999999999995</v>
      </c>
      <c r="M9">
        <f t="shared" si="6"/>
        <v>3.2165363050459814E-3</v>
      </c>
    </row>
    <row r="10" spans="1:19" x14ac:dyDescent="0.45">
      <c r="A10" s="3" t="s">
        <v>20</v>
      </c>
      <c r="B10">
        <v>4.4999999999999998E-2</v>
      </c>
      <c r="C10">
        <v>4.4600000000000001E-2</v>
      </c>
      <c r="D10">
        <v>4.5100000000000001E-2</v>
      </c>
      <c r="E10">
        <f t="shared" si="8"/>
        <v>4.4899999999999995E-2</v>
      </c>
      <c r="F10">
        <f t="shared" si="1"/>
        <v>3.7777777777779631E-4</v>
      </c>
      <c r="G10">
        <f t="shared" si="2"/>
        <v>12660</v>
      </c>
      <c r="H10">
        <f t="shared" si="9"/>
        <v>2.9840266807092915E-8</v>
      </c>
      <c r="I10">
        <f>H10/0.001</f>
        <v>2.9840266807092914E-5</v>
      </c>
      <c r="J10">
        <f t="shared" si="4"/>
        <v>2.9840266807092914E-2</v>
      </c>
      <c r="K10">
        <v>1.9499999999999934E-3</v>
      </c>
      <c r="L10">
        <f t="shared" si="5"/>
        <v>1.9499999999999935</v>
      </c>
      <c r="M10">
        <f t="shared" si="6"/>
        <v>1.5302700926714366E-2</v>
      </c>
    </row>
    <row r="11" spans="1:19" x14ac:dyDescent="0.45">
      <c r="A11" s="3" t="s">
        <v>21</v>
      </c>
      <c r="B11" s="1">
        <v>4.4900000000000002E-2</v>
      </c>
      <c r="C11" s="1">
        <v>4.4999999999999998E-2</v>
      </c>
      <c r="D11" s="1">
        <v>4.4900000000000002E-2</v>
      </c>
      <c r="E11">
        <f t="shared" si="8"/>
        <v>4.4933333333333332E-2</v>
      </c>
      <c r="F11">
        <f t="shared" si="1"/>
        <v>4.1111111111113291E-4</v>
      </c>
      <c r="G11">
        <f t="shared" si="2"/>
        <v>12660</v>
      </c>
      <c r="H11">
        <f t="shared" si="9"/>
        <v>3.2473231525365952E-8</v>
      </c>
      <c r="I11">
        <f t="shared" si="3"/>
        <v>3.2473231525365949E-5</v>
      </c>
      <c r="J11">
        <f t="shared" si="4"/>
        <v>3.247323152536595E-2</v>
      </c>
      <c r="K11">
        <v>1.7299999999999954E-3</v>
      </c>
      <c r="L11">
        <f t="shared" si="5"/>
        <v>1.7299999999999955</v>
      </c>
      <c r="M11">
        <f t="shared" si="6"/>
        <v>1.8770654060905223E-2</v>
      </c>
    </row>
    <row r="12" spans="1:19" x14ac:dyDescent="0.45">
      <c r="A12" s="3" t="s">
        <v>22</v>
      </c>
      <c r="B12" s="1">
        <v>4.4900000000000002E-2</v>
      </c>
      <c r="C12" s="1">
        <v>4.5400000000000003E-2</v>
      </c>
      <c r="D12" s="1">
        <v>4.4499999999999998E-2</v>
      </c>
      <c r="E12">
        <f t="shared" si="8"/>
        <v>4.4933333333333332E-2</v>
      </c>
      <c r="F12">
        <f t="shared" si="1"/>
        <v>4.1111111111113291E-4</v>
      </c>
      <c r="G12">
        <f t="shared" si="2"/>
        <v>12660</v>
      </c>
      <c r="H12">
        <f t="shared" si="9"/>
        <v>3.2473231525365952E-8</v>
      </c>
      <c r="I12">
        <f t="shared" si="3"/>
        <v>3.2473231525365949E-5</v>
      </c>
      <c r="J12">
        <f t="shared" si="4"/>
        <v>3.247323152536595E-2</v>
      </c>
      <c r="K12">
        <v>1.9300000000000012E-3</v>
      </c>
      <c r="L12">
        <f t="shared" si="5"/>
        <v>1.930000000000001</v>
      </c>
      <c r="M12">
        <f t="shared" si="6"/>
        <v>1.6825508562365768E-2</v>
      </c>
    </row>
    <row r="13" spans="1:19" x14ac:dyDescent="0.45">
      <c r="A13" s="3" t="s">
        <v>23</v>
      </c>
      <c r="B13" s="1">
        <v>4.5499999999999999E-2</v>
      </c>
      <c r="C13" s="1">
        <v>4.5900000000000003E-2</v>
      </c>
      <c r="D13" s="1">
        <v>4.5699999999999998E-2</v>
      </c>
      <c r="E13">
        <f t="shared" si="8"/>
        <v>4.5699999999999998E-2</v>
      </c>
      <c r="F13">
        <f t="shared" si="1"/>
        <v>1.1777777777777984E-3</v>
      </c>
      <c r="G13">
        <f t="shared" si="2"/>
        <v>12660</v>
      </c>
      <c r="H13">
        <f t="shared" si="9"/>
        <v>9.303142004563968E-8</v>
      </c>
      <c r="I13">
        <f t="shared" si="3"/>
        <v>9.303142004563968E-5</v>
      </c>
      <c r="J13">
        <f t="shared" si="4"/>
        <v>9.3031420045639676E-2</v>
      </c>
      <c r="K13">
        <v>1.8999999999999989E-3</v>
      </c>
      <c r="L13">
        <f t="shared" si="5"/>
        <v>1.899999999999999</v>
      </c>
      <c r="M13">
        <f t="shared" si="6"/>
        <v>4.8963905287178804E-2</v>
      </c>
      <c r="O13" s="5"/>
      <c r="P13" s="5"/>
      <c r="Q13" s="5"/>
      <c r="R13" s="5"/>
      <c r="S13" s="5"/>
    </row>
    <row r="14" spans="1:19" x14ac:dyDescent="0.45">
      <c r="A14" s="3" t="s">
        <v>24</v>
      </c>
      <c r="B14">
        <v>5.8400000000000001E-2</v>
      </c>
      <c r="C14">
        <v>5.11E-2</v>
      </c>
      <c r="D14">
        <v>5.5599999999999997E-2</v>
      </c>
      <c r="E14">
        <f t="shared" si="8"/>
        <v>5.503333333333333E-2</v>
      </c>
      <c r="F14">
        <f t="shared" si="1"/>
        <v>1.0511111111111131E-2</v>
      </c>
      <c r="G14">
        <f t="shared" si="2"/>
        <v>12660</v>
      </c>
      <c r="H14">
        <f t="shared" si="9"/>
        <v>8.302615411620166E-7</v>
      </c>
      <c r="I14">
        <f t="shared" si="3"/>
        <v>8.3026154116201656E-4</v>
      </c>
      <c r="J14">
        <f t="shared" si="4"/>
        <v>0.83026154116201656</v>
      </c>
      <c r="K14">
        <v>1.9399999999999973E-3</v>
      </c>
      <c r="L14">
        <f t="shared" si="5"/>
        <v>1.9399999999999973</v>
      </c>
      <c r="M14">
        <f t="shared" si="6"/>
        <v>0.42796986657835967</v>
      </c>
      <c r="O14" s="5" t="s">
        <v>33</v>
      </c>
      <c r="P14" s="5"/>
      <c r="Q14" s="5"/>
      <c r="R14" s="5"/>
      <c r="S14" s="5" t="s">
        <v>4</v>
      </c>
    </row>
    <row r="15" spans="1:19" x14ac:dyDescent="0.45">
      <c r="A15" s="3" t="s">
        <v>25</v>
      </c>
      <c r="B15">
        <v>5.3900000000000003E-2</v>
      </c>
      <c r="C15">
        <v>5.2499999999999998E-2</v>
      </c>
      <c r="D15">
        <v>5.3199999999999997E-2</v>
      </c>
      <c r="E15">
        <f t="shared" si="8"/>
        <v>5.3199999999999997E-2</v>
      </c>
      <c r="F15">
        <f t="shared" si="1"/>
        <v>8.6777777777777981E-3</v>
      </c>
      <c r="G15">
        <f t="shared" si="2"/>
        <v>12660</v>
      </c>
      <c r="H15">
        <f t="shared" si="9"/>
        <v>6.8544848165701406E-7</v>
      </c>
      <c r="I15">
        <f t="shared" si="3"/>
        <v>6.8544848165701404E-4</v>
      </c>
      <c r="J15">
        <f t="shared" si="4"/>
        <v>0.685448481657014</v>
      </c>
      <c r="K15">
        <v>1.8099999999999922E-3</v>
      </c>
      <c r="L15">
        <f t="shared" si="5"/>
        <v>1.8099999999999921</v>
      </c>
      <c r="M15">
        <f t="shared" si="6"/>
        <v>0.37870081859503701</v>
      </c>
      <c r="O15" s="5"/>
      <c r="P15" s="5">
        <v>9.2799999999999994E-2</v>
      </c>
      <c r="Q15" s="5">
        <v>9.2899999999999996E-2</v>
      </c>
      <c r="R15" s="5">
        <v>9.1800000000000007E-2</v>
      </c>
      <c r="S15" s="5"/>
    </row>
    <row r="16" spans="1:19" x14ac:dyDescent="0.45">
      <c r="A16" s="3" t="s">
        <v>26</v>
      </c>
      <c r="B16">
        <v>5.5800000000000002E-2</v>
      </c>
      <c r="C16">
        <v>5.7200000000000001E-2</v>
      </c>
      <c r="D16">
        <v>5.6399999999999999E-2</v>
      </c>
      <c r="E16">
        <f t="shared" si="8"/>
        <v>5.6466666666666665E-2</v>
      </c>
      <c r="F16">
        <f t="shared" si="1"/>
        <v>1.1944444444444466E-2</v>
      </c>
      <c r="G16">
        <f t="shared" si="2"/>
        <v>12660</v>
      </c>
      <c r="H16">
        <f t="shared" si="9"/>
        <v>9.4347902404774617E-7</v>
      </c>
      <c r="I16">
        <f t="shared" si="3"/>
        <v>9.4347902404774611E-4</v>
      </c>
      <c r="J16">
        <f t="shared" si="4"/>
        <v>0.94347902404774608</v>
      </c>
      <c r="K16">
        <v>1.7000000000000071E-3</v>
      </c>
      <c r="L16">
        <f t="shared" si="5"/>
        <v>1.7000000000000071</v>
      </c>
      <c r="M16">
        <f t="shared" si="6"/>
        <v>0.55498766120455423</v>
      </c>
      <c r="O16" s="5"/>
      <c r="P16" s="5">
        <v>9.1399999999999995E-2</v>
      </c>
      <c r="Q16" s="5">
        <v>9.2600000000000002E-2</v>
      </c>
      <c r="R16" s="5">
        <v>9.1899999999999996E-2</v>
      </c>
      <c r="S16" s="5"/>
    </row>
    <row r="17" spans="1:24" x14ac:dyDescent="0.45">
      <c r="A17" s="3" t="s">
        <v>27</v>
      </c>
      <c r="B17">
        <v>4.53E-2</v>
      </c>
      <c r="C17">
        <v>4.2999999999999997E-2</v>
      </c>
      <c r="D17">
        <v>4.2900000000000001E-2</v>
      </c>
      <c r="E17">
        <f t="shared" si="8"/>
        <v>4.3733333333333325E-2</v>
      </c>
      <c r="F17">
        <v>0</v>
      </c>
      <c r="G17">
        <f t="shared" si="2"/>
        <v>12660</v>
      </c>
      <c r="H17">
        <f t="shared" si="9"/>
        <v>0</v>
      </c>
      <c r="I17">
        <f t="shared" si="3"/>
        <v>0</v>
      </c>
      <c r="J17">
        <f t="shared" si="4"/>
        <v>0</v>
      </c>
      <c r="K17">
        <v>2.0700000000000024E-3</v>
      </c>
      <c r="L17">
        <f t="shared" si="5"/>
        <v>2.0700000000000025</v>
      </c>
      <c r="M17">
        <f t="shared" si="6"/>
        <v>0</v>
      </c>
      <c r="O17" s="5"/>
      <c r="P17" s="5">
        <v>9.1700000000000004E-2</v>
      </c>
      <c r="Q17" s="5">
        <v>9.2100000000000001E-2</v>
      </c>
      <c r="R17" s="5">
        <v>9.2299999999999993E-2</v>
      </c>
      <c r="S17" s="5"/>
      <c r="U17" t="s">
        <v>13</v>
      </c>
      <c r="V17">
        <v>0.44479999999999997</v>
      </c>
      <c r="W17">
        <v>0.43669999999999998</v>
      </c>
      <c r="X17">
        <v>0.46060000000000001</v>
      </c>
    </row>
    <row r="18" spans="1:24" x14ac:dyDescent="0.45">
      <c r="A18" s="3" t="s">
        <v>28</v>
      </c>
      <c r="B18">
        <v>4.41E-2</v>
      </c>
      <c r="C18">
        <v>4.2900000000000001E-2</v>
      </c>
      <c r="D18">
        <v>4.5400000000000003E-2</v>
      </c>
      <c r="E18">
        <f t="shared" si="8"/>
        <v>4.413333333333333E-2</v>
      </c>
      <c r="F18">
        <v>0</v>
      </c>
      <c r="G18">
        <f t="shared" si="2"/>
        <v>12660</v>
      </c>
      <c r="H18">
        <f t="shared" si="9"/>
        <v>0</v>
      </c>
      <c r="I18">
        <f t="shared" si="3"/>
        <v>0</v>
      </c>
      <c r="J18">
        <f t="shared" si="4"/>
        <v>0</v>
      </c>
      <c r="K18">
        <v>1.8799999999999928E-3</v>
      </c>
      <c r="L18">
        <f t="shared" si="5"/>
        <v>1.8799999999999928</v>
      </c>
      <c r="M18">
        <f t="shared" si="6"/>
        <v>0</v>
      </c>
      <c r="O18" s="5"/>
      <c r="P18" s="5"/>
      <c r="Q18" s="5"/>
      <c r="R18" s="5"/>
      <c r="S18" s="5">
        <f>AVERAGE(P15:R17)</f>
        <v>9.2166666666666661E-2</v>
      </c>
      <c r="U18" t="s">
        <v>14</v>
      </c>
      <c r="V18">
        <v>0.44109999999999999</v>
      </c>
      <c r="W18">
        <v>0.43909999999999999</v>
      </c>
      <c r="X18">
        <v>0.44529999999999997</v>
      </c>
    </row>
    <row r="19" spans="1:24" x14ac:dyDescent="0.45">
      <c r="A19" s="3" t="s">
        <v>29</v>
      </c>
      <c r="B19">
        <v>4.5999999999999999E-2</v>
      </c>
      <c r="C19">
        <v>4.6199999999999998E-2</v>
      </c>
      <c r="D19">
        <v>4.5999999999999999E-2</v>
      </c>
      <c r="E19">
        <f t="shared" si="8"/>
        <v>4.6066666666666665E-2</v>
      </c>
      <c r="F19">
        <f t="shared" si="1"/>
        <v>1.5444444444444663E-3</v>
      </c>
      <c r="G19">
        <f t="shared" si="2"/>
        <v>12660</v>
      </c>
      <c r="H19">
        <f t="shared" si="9"/>
        <v>1.2199403194664032E-7</v>
      </c>
      <c r="I19">
        <f t="shared" si="3"/>
        <v>1.2199403194664032E-4</v>
      </c>
      <c r="J19">
        <f t="shared" si="4"/>
        <v>0.12199403194664032</v>
      </c>
      <c r="K19">
        <v>1.7000000000000071E-3</v>
      </c>
      <c r="L19">
        <f t="shared" si="5"/>
        <v>1.7000000000000071</v>
      </c>
      <c r="M19">
        <f t="shared" si="6"/>
        <v>7.176119526272931E-2</v>
      </c>
      <c r="U19" t="s">
        <v>15</v>
      </c>
      <c r="V19">
        <v>0.41870000000000002</v>
      </c>
      <c r="W19">
        <v>0.41020000000000001</v>
      </c>
      <c r="X19">
        <v>0.41549999999999998</v>
      </c>
    </row>
    <row r="20" spans="1:24" x14ac:dyDescent="0.45">
      <c r="A20" s="3" t="s">
        <v>30</v>
      </c>
      <c r="B20">
        <v>4.4600000000000001E-2</v>
      </c>
      <c r="C20">
        <v>4.3900000000000002E-2</v>
      </c>
      <c r="D20">
        <v>4.41E-2</v>
      </c>
      <c r="E20">
        <f t="shared" si="8"/>
        <v>4.4199999999999996E-2</v>
      </c>
      <c r="F20">
        <v>0</v>
      </c>
      <c r="G20">
        <f t="shared" si="2"/>
        <v>12660</v>
      </c>
      <c r="H20">
        <f t="shared" si="9"/>
        <v>0</v>
      </c>
      <c r="I20">
        <f t="shared" si="3"/>
        <v>0</v>
      </c>
      <c r="J20">
        <f t="shared" si="4"/>
        <v>0</v>
      </c>
      <c r="K20">
        <v>2.0799999999999985E-3</v>
      </c>
      <c r="L20">
        <f t="shared" si="5"/>
        <v>2.0799999999999983</v>
      </c>
      <c r="M20">
        <f t="shared" si="6"/>
        <v>0</v>
      </c>
    </row>
    <row r="21" spans="1:24" x14ac:dyDescent="0.45">
      <c r="A21" s="3" t="s">
        <v>31</v>
      </c>
      <c r="B21">
        <v>4.9500000000000002E-2</v>
      </c>
      <c r="C21">
        <v>4.5499999999999999E-2</v>
      </c>
      <c r="D21">
        <v>4.6699999999999998E-2</v>
      </c>
      <c r="E21">
        <f t="shared" si="8"/>
        <v>4.7233333333333329E-2</v>
      </c>
      <c r="F21">
        <f t="shared" si="1"/>
        <v>2.7111111111111294E-3</v>
      </c>
      <c r="G21">
        <f t="shared" si="2"/>
        <v>12660</v>
      </c>
      <c r="H21">
        <f t="shared" si="9"/>
        <v>2.1414779708618716E-7</v>
      </c>
      <c r="I21">
        <f t="shared" si="3"/>
        <v>2.1414779708618716E-4</v>
      </c>
      <c r="J21">
        <f t="shared" si="4"/>
        <v>0.21414779708618717</v>
      </c>
      <c r="K21">
        <v>1.9600000000000034E-3</v>
      </c>
      <c r="L21">
        <f t="shared" si="5"/>
        <v>1.9600000000000035</v>
      </c>
      <c r="M21">
        <f t="shared" si="6"/>
        <v>0.10925908014601367</v>
      </c>
    </row>
    <row r="22" spans="1:24" x14ac:dyDescent="0.45">
      <c r="A22" s="3" t="s">
        <v>32</v>
      </c>
      <c r="B22">
        <v>4.5100000000000001E-2</v>
      </c>
      <c r="C22">
        <v>4.5100000000000001E-2</v>
      </c>
      <c r="D22">
        <v>4.4699999999999997E-2</v>
      </c>
      <c r="E22">
        <f t="shared" si="8"/>
        <v>4.4966666666666662E-2</v>
      </c>
      <c r="F22">
        <f t="shared" si="1"/>
        <v>4.4444444444446257E-4</v>
      </c>
      <c r="G22">
        <f t="shared" si="2"/>
        <v>12660</v>
      </c>
      <c r="H22">
        <f t="shared" si="9"/>
        <v>3.5106196243638433E-8</v>
      </c>
      <c r="I22">
        <f t="shared" si="3"/>
        <v>3.5106196243638431E-5</v>
      </c>
      <c r="J22">
        <f t="shared" si="4"/>
        <v>3.5106196243638428E-2</v>
      </c>
      <c r="K22">
        <v>1.6900000000000109E-3</v>
      </c>
      <c r="L22">
        <f t="shared" si="5"/>
        <v>1.690000000000011</v>
      </c>
      <c r="M22">
        <f t="shared" si="6"/>
        <v>2.0772897185584734E-2</v>
      </c>
    </row>
    <row r="23" spans="1:24" x14ac:dyDescent="0.45">
      <c r="A23" s="5" t="s">
        <v>34</v>
      </c>
      <c r="B23">
        <v>9.5100000000000004E-2</v>
      </c>
      <c r="C23">
        <v>9.3899999999999997E-2</v>
      </c>
      <c r="D23">
        <v>9.5100000000000004E-2</v>
      </c>
      <c r="E23">
        <f t="shared" si="8"/>
        <v>9.4700000000000006E-2</v>
      </c>
      <c r="F23">
        <f>E23-0.0921666666666667</f>
        <v>2.5333333333333041E-3</v>
      </c>
      <c r="G23">
        <f t="shared" si="2"/>
        <v>12660</v>
      </c>
      <c r="H23">
        <f t="shared" si="9"/>
        <v>2.001053185887286E-7</v>
      </c>
      <c r="I23">
        <f t="shared" si="3"/>
        <v>2.001053185887286E-4</v>
      </c>
      <c r="J23">
        <f t="shared" si="4"/>
        <v>0.2001053185887286</v>
      </c>
      <c r="K23" t="s">
        <v>55</v>
      </c>
      <c r="L23">
        <f t="shared" si="5"/>
        <v>95.33</v>
      </c>
      <c r="M23">
        <f t="shared" si="6"/>
        <v>2.0990802327570399E-3</v>
      </c>
      <c r="R23">
        <v>9.2166666666666702E-2</v>
      </c>
    </row>
    <row r="24" spans="1:24" x14ac:dyDescent="0.45">
      <c r="A24" s="5" t="s">
        <v>35</v>
      </c>
      <c r="B24">
        <v>9.2899999999999996E-2</v>
      </c>
      <c r="C24">
        <v>9.3100000000000002E-2</v>
      </c>
      <c r="D24">
        <v>9.4799999999999995E-2</v>
      </c>
      <c r="E24">
        <f t="shared" si="8"/>
        <v>9.3600000000000003E-2</v>
      </c>
      <c r="F24">
        <f t="shared" ref="F24:F43" si="10">E24-0.0921666666666667</f>
        <v>1.4333333333333004E-3</v>
      </c>
      <c r="G24">
        <f t="shared" si="2"/>
        <v>12660</v>
      </c>
      <c r="H24">
        <f t="shared" si="9"/>
        <v>1.1321748288572672E-7</v>
      </c>
      <c r="I24">
        <f t="shared" si="3"/>
        <v>1.1321748288572672E-4</v>
      </c>
      <c r="J24">
        <f t="shared" si="4"/>
        <v>0.11321748288572672</v>
      </c>
      <c r="K24" t="s">
        <v>56</v>
      </c>
      <c r="L24">
        <f t="shared" si="5"/>
        <v>96.36</v>
      </c>
      <c r="M24">
        <f t="shared" si="6"/>
        <v>1.174942744766778E-3</v>
      </c>
    </row>
    <row r="25" spans="1:24" x14ac:dyDescent="0.45">
      <c r="A25" s="5" t="s">
        <v>36</v>
      </c>
      <c r="B25">
        <v>9.3299999999999994E-2</v>
      </c>
      <c r="C25">
        <v>9.2399999999999996E-2</v>
      </c>
      <c r="D25">
        <v>9.2799999999999994E-2</v>
      </c>
      <c r="E25">
        <f t="shared" si="8"/>
        <v>9.2833333333333323E-2</v>
      </c>
      <c r="F25">
        <f t="shared" si="10"/>
        <v>6.66666666666621E-4</v>
      </c>
      <c r="G25">
        <f t="shared" si="2"/>
        <v>12660</v>
      </c>
      <c r="H25">
        <f t="shared" si="9"/>
        <v>5.2659294365451898E-8</v>
      </c>
      <c r="I25">
        <f t="shared" si="3"/>
        <v>5.26592943654519E-5</v>
      </c>
      <c r="J25">
        <f t="shared" si="4"/>
        <v>5.26592943654519E-2</v>
      </c>
      <c r="K25" t="s">
        <v>57</v>
      </c>
      <c r="L25">
        <f t="shared" si="5"/>
        <v>94.68</v>
      </c>
      <c r="M25">
        <f t="shared" si="6"/>
        <v>5.5618181628064951E-4</v>
      </c>
    </row>
    <row r="26" spans="1:24" x14ac:dyDescent="0.45">
      <c r="A26" s="5" t="s">
        <v>37</v>
      </c>
      <c r="B26">
        <v>9.5299999999999996E-2</v>
      </c>
      <c r="C26">
        <v>9.5000000000000001E-2</v>
      </c>
      <c r="D26">
        <v>9.3299999999999994E-2</v>
      </c>
      <c r="E26">
        <f t="shared" si="8"/>
        <v>9.4533333333333316E-2</v>
      </c>
      <c r="F26">
        <f t="shared" si="10"/>
        <v>2.3666666666666142E-3</v>
      </c>
      <c r="G26">
        <f t="shared" si="2"/>
        <v>12660</v>
      </c>
      <c r="H26">
        <f t="shared" si="9"/>
        <v>1.869404949973629E-7</v>
      </c>
      <c r="I26">
        <f t="shared" si="3"/>
        <v>1.8694049499736289E-4</v>
      </c>
      <c r="J26">
        <f t="shared" si="4"/>
        <v>0.1869404949973629</v>
      </c>
      <c r="K26" t="s">
        <v>55</v>
      </c>
      <c r="L26">
        <f t="shared" si="5"/>
        <v>95.33</v>
      </c>
      <c r="M26">
        <f t="shared" si="6"/>
        <v>1.9609828490230034E-3</v>
      </c>
      <c r="O26" s="6" t="s">
        <v>93</v>
      </c>
      <c r="P26" s="6"/>
      <c r="Q26" s="6"/>
      <c r="R26" s="6"/>
      <c r="S26" s="6" t="s">
        <v>4</v>
      </c>
    </row>
    <row r="27" spans="1:24" x14ac:dyDescent="0.45">
      <c r="A27" s="5" t="s">
        <v>38</v>
      </c>
      <c r="B27">
        <v>9.5500000000000002E-2</v>
      </c>
      <c r="C27">
        <v>9.3399999999999997E-2</v>
      </c>
      <c r="D27">
        <v>9.2999999999999999E-2</v>
      </c>
      <c r="E27">
        <f t="shared" si="8"/>
        <v>9.3966666666666684E-2</v>
      </c>
      <c r="F27">
        <f t="shared" si="10"/>
        <v>1.7999999999999822E-3</v>
      </c>
      <c r="G27">
        <f t="shared" si="2"/>
        <v>12660</v>
      </c>
      <c r="H27">
        <f t="shared" si="9"/>
        <v>1.4218009478672845E-7</v>
      </c>
      <c r="I27">
        <f t="shared" si="3"/>
        <v>1.4218009478672846E-4</v>
      </c>
      <c r="J27">
        <f t="shared" si="4"/>
        <v>0.14218009478672847</v>
      </c>
      <c r="K27" t="s">
        <v>58</v>
      </c>
      <c r="L27">
        <f t="shared" si="5"/>
        <v>94.86</v>
      </c>
      <c r="M27">
        <f t="shared" si="6"/>
        <v>1.4988413956011856E-3</v>
      </c>
      <c r="O27" s="6"/>
      <c r="P27" s="7">
        <v>4.2900000000000001E-2</v>
      </c>
      <c r="Q27" s="7">
        <v>4.2700000000000002E-2</v>
      </c>
      <c r="R27" s="7">
        <v>4.3400000000000001E-2</v>
      </c>
      <c r="S27" s="6"/>
    </row>
    <row r="28" spans="1:24" x14ac:dyDescent="0.45">
      <c r="A28" s="5" t="s">
        <v>39</v>
      </c>
      <c r="B28">
        <v>9.5000000000000001E-2</v>
      </c>
      <c r="C28">
        <v>9.5699999999999993E-2</v>
      </c>
      <c r="D28">
        <v>9.4E-2</v>
      </c>
      <c r="E28">
        <f t="shared" si="8"/>
        <v>9.4899999999999984E-2</v>
      </c>
      <c r="F28">
        <f t="shared" si="10"/>
        <v>2.7333333333332821E-3</v>
      </c>
      <c r="G28">
        <f t="shared" si="2"/>
        <v>12660</v>
      </c>
      <c r="H28">
        <f t="shared" si="9"/>
        <v>2.1590310689836353E-7</v>
      </c>
      <c r="I28">
        <f t="shared" si="3"/>
        <v>2.1590310689836352E-4</v>
      </c>
      <c r="J28">
        <f t="shared" si="4"/>
        <v>0.21590310689836351</v>
      </c>
      <c r="K28" t="s">
        <v>59</v>
      </c>
      <c r="L28">
        <f t="shared" si="5"/>
        <v>96.31</v>
      </c>
      <c r="M28">
        <f t="shared" si="6"/>
        <v>2.2417517069708596E-3</v>
      </c>
      <c r="O28" s="6"/>
      <c r="P28" s="7">
        <v>4.3099999999999999E-2</v>
      </c>
      <c r="Q28" s="7">
        <v>4.2700000000000002E-2</v>
      </c>
      <c r="R28" s="7">
        <v>4.2299999999999997E-2</v>
      </c>
      <c r="S28" s="6"/>
    </row>
    <row r="29" spans="1:24" x14ac:dyDescent="0.45">
      <c r="A29" s="5" t="s">
        <v>40</v>
      </c>
      <c r="B29">
        <v>9.4600000000000004E-2</v>
      </c>
      <c r="C29">
        <v>9.5699999999999993E-2</v>
      </c>
      <c r="D29">
        <v>9.5899999999999999E-2</v>
      </c>
      <c r="E29">
        <f t="shared" si="8"/>
        <v>9.5399999999999999E-2</v>
      </c>
      <c r="F29">
        <f t="shared" si="10"/>
        <v>3.2333333333332964E-3</v>
      </c>
      <c r="G29">
        <f t="shared" si="2"/>
        <v>12660</v>
      </c>
      <c r="H29">
        <f t="shared" si="9"/>
        <v>2.5539757767245625E-7</v>
      </c>
      <c r="I29">
        <f t="shared" si="3"/>
        <v>2.5539757767245624E-4</v>
      </c>
      <c r="J29">
        <f t="shared" si="4"/>
        <v>0.25539757767245624</v>
      </c>
      <c r="K29" t="s">
        <v>60</v>
      </c>
      <c r="L29">
        <f t="shared" si="5"/>
        <v>94.83</v>
      </c>
      <c r="M29">
        <f t="shared" si="6"/>
        <v>2.6932149918006566E-3</v>
      </c>
      <c r="O29" s="6"/>
      <c r="P29" s="7">
        <v>4.2900000000000001E-2</v>
      </c>
      <c r="Q29" s="7">
        <v>4.2700000000000002E-2</v>
      </c>
      <c r="R29" s="7">
        <v>4.4600000000000001E-2</v>
      </c>
      <c r="S29" s="6"/>
    </row>
    <row r="30" spans="1:24" x14ac:dyDescent="0.45">
      <c r="A30" s="5" t="s">
        <v>41</v>
      </c>
      <c r="B30">
        <v>9.3299999999999994E-2</v>
      </c>
      <c r="C30">
        <v>9.4299999999999995E-2</v>
      </c>
      <c r="D30">
        <v>9.5799999999999996E-2</v>
      </c>
      <c r="E30">
        <f t="shared" si="8"/>
        <v>9.4466666666666657E-2</v>
      </c>
      <c r="F30">
        <f t="shared" si="10"/>
        <v>2.2999999999999549E-3</v>
      </c>
      <c r="G30">
        <f t="shared" si="2"/>
        <v>12660</v>
      </c>
      <c r="H30">
        <f t="shared" si="9"/>
        <v>1.8167456556081792E-7</v>
      </c>
      <c r="I30">
        <f t="shared" si="3"/>
        <v>1.8167456556081793E-4</v>
      </c>
      <c r="J30">
        <f t="shared" si="4"/>
        <v>0.18167456556081793</v>
      </c>
      <c r="K30" t="s">
        <v>61</v>
      </c>
      <c r="L30">
        <f t="shared" si="5"/>
        <v>95.320000000000007</v>
      </c>
      <c r="M30">
        <f t="shared" si="6"/>
        <v>1.9059438266976281E-3</v>
      </c>
      <c r="O30" s="6"/>
      <c r="P30" s="6"/>
      <c r="Q30" s="6"/>
      <c r="R30" s="6"/>
      <c r="S30" s="6">
        <f>AVERAGE(P27:R29)</f>
        <v>4.3033333333333333E-2</v>
      </c>
    </row>
    <row r="31" spans="1:24" x14ac:dyDescent="0.45">
      <c r="A31" s="5" t="s">
        <v>42</v>
      </c>
      <c r="B31">
        <v>9.4399999999999998E-2</v>
      </c>
      <c r="C31">
        <v>9.6000000000000002E-2</v>
      </c>
      <c r="D31">
        <v>9.4100000000000003E-2</v>
      </c>
      <c r="E31">
        <f>AVERAGE(B31:D31)</f>
        <v>9.4833333333333339E-2</v>
      </c>
      <c r="F31">
        <f t="shared" si="10"/>
        <v>2.6666666666666367E-3</v>
      </c>
      <c r="G31">
        <f t="shared" si="2"/>
        <v>12660</v>
      </c>
      <c r="H31">
        <f t="shared" si="9"/>
        <v>2.1063717746181964E-7</v>
      </c>
      <c r="I31">
        <f t="shared" si="3"/>
        <v>2.1063717746181964E-4</v>
      </c>
      <c r="J31">
        <f t="shared" si="4"/>
        <v>0.21063717746181965</v>
      </c>
      <c r="K31" t="s">
        <v>62</v>
      </c>
      <c r="L31">
        <f t="shared" si="5"/>
        <v>96.240000000000009</v>
      </c>
      <c r="M31">
        <f t="shared" si="6"/>
        <v>2.1886656012242273E-3</v>
      </c>
    </row>
    <row r="32" spans="1:24" x14ac:dyDescent="0.45">
      <c r="A32" s="5" t="s">
        <v>43</v>
      </c>
      <c r="B32">
        <v>9.64E-2</v>
      </c>
      <c r="C32">
        <v>9.4899999999999998E-2</v>
      </c>
      <c r="D32">
        <v>9.5000000000000001E-2</v>
      </c>
      <c r="E32">
        <f t="shared" si="8"/>
        <v>9.5433333333333328E-2</v>
      </c>
      <c r="F32">
        <f t="shared" si="10"/>
        <v>3.2666666666666261E-3</v>
      </c>
      <c r="G32">
        <f t="shared" si="2"/>
        <v>12660</v>
      </c>
      <c r="H32">
        <f t="shared" si="9"/>
        <v>2.5803054239072878E-7</v>
      </c>
      <c r="I32">
        <f t="shared" si="3"/>
        <v>2.5803054239072876E-4</v>
      </c>
      <c r="J32">
        <f t="shared" si="4"/>
        <v>0.25803054239072876</v>
      </c>
      <c r="K32" t="s">
        <v>63</v>
      </c>
      <c r="L32">
        <f t="shared" si="5"/>
        <v>94</v>
      </c>
      <c r="M32">
        <f t="shared" si="6"/>
        <v>2.7450057701141357E-3</v>
      </c>
    </row>
    <row r="33" spans="1:19" x14ac:dyDescent="0.45">
      <c r="A33" s="5" t="s">
        <v>44</v>
      </c>
      <c r="B33">
        <v>9.5399999999999999E-2</v>
      </c>
      <c r="C33">
        <v>9.5100000000000004E-2</v>
      </c>
      <c r="D33">
        <v>9.4799999999999995E-2</v>
      </c>
      <c r="E33">
        <f t="shared" si="8"/>
        <v>9.5100000000000004E-2</v>
      </c>
      <c r="F33">
        <f t="shared" si="10"/>
        <v>2.9333333333333017E-3</v>
      </c>
      <c r="G33">
        <f t="shared" si="2"/>
        <v>12660</v>
      </c>
      <c r="H33">
        <f t="shared" si="9"/>
        <v>2.3170089520800171E-7</v>
      </c>
      <c r="I33">
        <f t="shared" si="3"/>
        <v>2.3170089520800169E-4</v>
      </c>
      <c r="J33">
        <f t="shared" si="4"/>
        <v>0.23170089520800169</v>
      </c>
      <c r="K33" t="s">
        <v>64</v>
      </c>
      <c r="L33">
        <f t="shared" si="5"/>
        <v>97.16</v>
      </c>
      <c r="M33">
        <f t="shared" si="6"/>
        <v>2.3847354385343939E-3</v>
      </c>
      <c r="S33">
        <v>4.3033333333333298E-2</v>
      </c>
    </row>
    <row r="34" spans="1:19" x14ac:dyDescent="0.45">
      <c r="A34" s="5" t="s">
        <v>45</v>
      </c>
      <c r="B34">
        <v>9.4600000000000004E-2</v>
      </c>
      <c r="C34">
        <v>9.4600000000000004E-2</v>
      </c>
      <c r="D34">
        <v>9.3899999999999997E-2</v>
      </c>
      <c r="E34">
        <f t="shared" si="8"/>
        <v>9.4366666666666668E-2</v>
      </c>
      <c r="F34">
        <f t="shared" si="10"/>
        <v>2.1999999999999659E-3</v>
      </c>
      <c r="G34">
        <f t="shared" si="2"/>
        <v>12660</v>
      </c>
      <c r="H34">
        <f t="shared" si="9"/>
        <v>1.7377567140600047E-7</v>
      </c>
      <c r="I34">
        <f t="shared" si="3"/>
        <v>1.7377567140600047E-4</v>
      </c>
      <c r="J34">
        <f t="shared" si="4"/>
        <v>0.17377567140600048</v>
      </c>
      <c r="K34" t="s">
        <v>65</v>
      </c>
      <c r="L34">
        <f t="shared" si="5"/>
        <v>95.19</v>
      </c>
      <c r="M34">
        <f t="shared" si="6"/>
        <v>1.825566460825722E-3</v>
      </c>
    </row>
    <row r="35" spans="1:19" x14ac:dyDescent="0.45">
      <c r="A35" s="5" t="s">
        <v>46</v>
      </c>
      <c r="B35">
        <v>9.2399999999999996E-2</v>
      </c>
      <c r="C35">
        <v>9.3200000000000005E-2</v>
      </c>
      <c r="D35">
        <v>9.4299999999999995E-2</v>
      </c>
      <c r="E35">
        <f t="shared" si="8"/>
        <v>9.3299999999999994E-2</v>
      </c>
      <c r="F35">
        <f t="shared" si="10"/>
        <v>1.1333333333332918E-3</v>
      </c>
      <c r="G35">
        <f t="shared" si="2"/>
        <v>12660</v>
      </c>
      <c r="H35">
        <f t="shared" si="9"/>
        <v>8.9520800421271069E-8</v>
      </c>
      <c r="I35">
        <f t="shared" si="3"/>
        <v>8.9520800421271062E-5</v>
      </c>
      <c r="J35">
        <f t="shared" si="4"/>
        <v>8.9520800421271057E-2</v>
      </c>
      <c r="K35" t="s">
        <v>66</v>
      </c>
      <c r="L35">
        <f t="shared" si="5"/>
        <v>95.25</v>
      </c>
      <c r="M35">
        <f t="shared" si="6"/>
        <v>9.3985092305796383E-4</v>
      </c>
    </row>
    <row r="36" spans="1:19" x14ac:dyDescent="0.45">
      <c r="A36" s="5" t="s">
        <v>47</v>
      </c>
      <c r="B36">
        <v>9.3200000000000005E-2</v>
      </c>
      <c r="C36">
        <v>9.3399999999999997E-2</v>
      </c>
      <c r="D36">
        <v>9.3299999999999994E-2</v>
      </c>
      <c r="E36">
        <f t="shared" si="8"/>
        <v>9.3299999999999994E-2</v>
      </c>
      <c r="F36">
        <f t="shared" si="10"/>
        <v>1.1333333333332918E-3</v>
      </c>
      <c r="G36">
        <f t="shared" si="2"/>
        <v>12660</v>
      </c>
      <c r="H36">
        <f t="shared" si="9"/>
        <v>8.9520800421271069E-8</v>
      </c>
      <c r="I36">
        <f t="shared" si="3"/>
        <v>8.9520800421271062E-5</v>
      </c>
      <c r="J36">
        <f t="shared" si="4"/>
        <v>8.9520800421271057E-2</v>
      </c>
      <c r="K36" t="s">
        <v>67</v>
      </c>
      <c r="L36">
        <f t="shared" si="5"/>
        <v>96.06</v>
      </c>
      <c r="M36">
        <f t="shared" si="6"/>
        <v>9.3192588404404598E-4</v>
      </c>
    </row>
    <row r="37" spans="1:19" x14ac:dyDescent="0.45">
      <c r="A37" s="5" t="s">
        <v>48</v>
      </c>
      <c r="B37">
        <v>9.5100000000000004E-2</v>
      </c>
      <c r="C37">
        <v>9.3899999999999997E-2</v>
      </c>
      <c r="D37">
        <v>9.4500000000000001E-2</v>
      </c>
      <c r="E37">
        <f t="shared" si="8"/>
        <v>9.4499999999999987E-2</v>
      </c>
      <c r="F37">
        <f t="shared" si="10"/>
        <v>2.3333333333332845E-3</v>
      </c>
      <c r="G37">
        <f t="shared" si="2"/>
        <v>12660</v>
      </c>
      <c r="H37">
        <f t="shared" si="9"/>
        <v>1.843075302790904E-7</v>
      </c>
      <c r="I37">
        <f t="shared" si="3"/>
        <v>1.843075302790904E-4</v>
      </c>
      <c r="J37">
        <f t="shared" si="4"/>
        <v>0.18430753027909039</v>
      </c>
      <c r="K37" t="s">
        <v>68</v>
      </c>
      <c r="L37">
        <f t="shared" si="5"/>
        <v>94.570000000000007</v>
      </c>
      <c r="M37">
        <f t="shared" si="6"/>
        <v>1.9489006056792892E-3</v>
      </c>
    </row>
    <row r="38" spans="1:19" x14ac:dyDescent="0.45">
      <c r="A38" s="5" t="s">
        <v>49</v>
      </c>
      <c r="B38">
        <v>9.2600000000000002E-2</v>
      </c>
      <c r="C38">
        <v>9.2999999999999999E-2</v>
      </c>
      <c r="D38">
        <v>9.3700000000000006E-2</v>
      </c>
      <c r="E38">
        <f t="shared" si="8"/>
        <v>9.3100000000000002E-2</v>
      </c>
      <c r="F38">
        <f t="shared" si="10"/>
        <v>9.3333333333329993E-4</v>
      </c>
      <c r="G38">
        <f t="shared" si="2"/>
        <v>12660</v>
      </c>
      <c r="H38">
        <f t="shared" si="9"/>
        <v>7.372301211163506E-8</v>
      </c>
      <c r="I38">
        <f t="shared" si="3"/>
        <v>7.3723012111635058E-5</v>
      </c>
      <c r="J38">
        <f t="shared" si="4"/>
        <v>7.3723012111635053E-2</v>
      </c>
      <c r="K38" t="s">
        <v>69</v>
      </c>
      <c r="L38">
        <f t="shared" si="5"/>
        <v>94.92</v>
      </c>
      <c r="M38">
        <f t="shared" si="6"/>
        <v>7.766857576025606E-4</v>
      </c>
    </row>
    <row r="39" spans="1:19" x14ac:dyDescent="0.45">
      <c r="A39" s="5" t="s">
        <v>50</v>
      </c>
      <c r="B39">
        <v>9.3200000000000005E-2</v>
      </c>
      <c r="C39">
        <v>9.2100000000000001E-2</v>
      </c>
      <c r="D39">
        <v>9.2899999999999996E-2</v>
      </c>
      <c r="E39">
        <f t="shared" si="8"/>
        <v>9.2733333333333334E-2</v>
      </c>
      <c r="F39">
        <f t="shared" si="10"/>
        <v>5.6666666666663201E-4</v>
      </c>
      <c r="G39">
        <f t="shared" si="2"/>
        <v>12660</v>
      </c>
      <c r="H39">
        <f t="shared" si="9"/>
        <v>4.4760400210634443E-8</v>
      </c>
      <c r="I39">
        <f t="shared" si="3"/>
        <v>4.476040021063444E-5</v>
      </c>
      <c r="J39">
        <f t="shared" si="4"/>
        <v>4.4760400210634439E-2</v>
      </c>
      <c r="K39" t="s">
        <v>70</v>
      </c>
      <c r="L39">
        <f t="shared" si="5"/>
        <v>94.91</v>
      </c>
      <c r="M39">
        <f t="shared" si="6"/>
        <v>4.7160889485443517E-4</v>
      </c>
    </row>
    <row r="40" spans="1:19" x14ac:dyDescent="0.45">
      <c r="A40" s="5" t="s">
        <v>51</v>
      </c>
      <c r="B40">
        <v>9.3899999999999997E-2</v>
      </c>
      <c r="C40">
        <v>9.6100000000000005E-2</v>
      </c>
      <c r="D40">
        <v>9.4100000000000003E-2</v>
      </c>
      <c r="E40">
        <f t="shared" si="8"/>
        <v>9.4700000000000006E-2</v>
      </c>
      <c r="F40">
        <f t="shared" si="10"/>
        <v>2.5333333333333041E-3</v>
      </c>
      <c r="G40">
        <f t="shared" si="2"/>
        <v>12660</v>
      </c>
      <c r="H40">
        <f t="shared" si="9"/>
        <v>2.001053185887286E-7</v>
      </c>
      <c r="I40">
        <f t="shared" si="3"/>
        <v>2.001053185887286E-4</v>
      </c>
      <c r="J40">
        <f t="shared" si="4"/>
        <v>0.2001053185887286</v>
      </c>
      <c r="K40" t="s">
        <v>71</v>
      </c>
      <c r="L40">
        <f t="shared" si="5"/>
        <v>95.17</v>
      </c>
      <c r="M40">
        <f t="shared" si="6"/>
        <v>2.102609210767349E-3</v>
      </c>
    </row>
    <row r="41" spans="1:19" x14ac:dyDescent="0.45">
      <c r="A41" s="5" t="s">
        <v>52</v>
      </c>
      <c r="B41">
        <v>9.5299999999999996E-2</v>
      </c>
      <c r="C41">
        <v>9.3600000000000003E-2</v>
      </c>
      <c r="D41">
        <v>9.3899999999999997E-2</v>
      </c>
      <c r="E41">
        <f t="shared" si="8"/>
        <v>9.4266666666666665E-2</v>
      </c>
      <c r="F41">
        <f t="shared" si="10"/>
        <v>2.099999999999963E-3</v>
      </c>
      <c r="G41">
        <f t="shared" si="2"/>
        <v>12660</v>
      </c>
      <c r="H41">
        <f t="shared" si="9"/>
        <v>1.6587677725118191E-7</v>
      </c>
      <c r="I41">
        <f t="shared" si="3"/>
        <v>1.658767772511819E-4</v>
      </c>
      <c r="J41">
        <f t="shared" si="4"/>
        <v>0.16587677725118188</v>
      </c>
      <c r="K41" t="s">
        <v>72</v>
      </c>
      <c r="L41">
        <f t="shared" si="5"/>
        <v>94.66</v>
      </c>
      <c r="M41">
        <f t="shared" si="6"/>
        <v>1.752342882433783E-3</v>
      </c>
    </row>
    <row r="42" spans="1:19" x14ac:dyDescent="0.45">
      <c r="A42" s="5" t="s">
        <v>53</v>
      </c>
      <c r="B42">
        <v>9.2799999999999994E-2</v>
      </c>
      <c r="C42">
        <v>9.2700000000000005E-2</v>
      </c>
      <c r="D42">
        <v>9.3700000000000006E-2</v>
      </c>
      <c r="E42">
        <f t="shared" si="8"/>
        <v>9.3066666666666673E-2</v>
      </c>
      <c r="F42">
        <f t="shared" si="10"/>
        <v>8.9999999999997027E-4</v>
      </c>
      <c r="G42">
        <f t="shared" si="2"/>
        <v>12660</v>
      </c>
      <c r="H42">
        <f t="shared" si="9"/>
        <v>7.1090047393362586E-8</v>
      </c>
      <c r="I42">
        <f t="shared" si="3"/>
        <v>7.1090047393362589E-5</v>
      </c>
      <c r="J42">
        <f t="shared" si="4"/>
        <v>7.1090047393362596E-2</v>
      </c>
      <c r="K42" t="s">
        <v>73</v>
      </c>
      <c r="L42">
        <f t="shared" si="5"/>
        <v>96.11</v>
      </c>
      <c r="M42">
        <f t="shared" si="6"/>
        <v>7.3967378413653721E-4</v>
      </c>
      <c r="O42" s="8" t="s">
        <v>94</v>
      </c>
      <c r="P42" s="8"/>
      <c r="Q42" s="8"/>
      <c r="R42" s="8"/>
      <c r="S42" s="8"/>
    </row>
    <row r="43" spans="1:19" x14ac:dyDescent="0.45">
      <c r="A43" s="5" t="s">
        <v>54</v>
      </c>
      <c r="B43">
        <v>9.3700000000000006E-2</v>
      </c>
      <c r="C43">
        <v>9.4500000000000001E-2</v>
      </c>
      <c r="D43">
        <v>9.4100000000000003E-2</v>
      </c>
      <c r="E43">
        <f t="shared" si="8"/>
        <v>9.4100000000000003E-2</v>
      </c>
      <c r="F43">
        <f t="shared" si="10"/>
        <v>1.9333333333333008E-3</v>
      </c>
      <c r="G43">
        <f t="shared" si="2"/>
        <v>12660</v>
      </c>
      <c r="H43">
        <f t="shared" si="9"/>
        <v>1.527119536598184E-7</v>
      </c>
      <c r="I43">
        <f t="shared" si="3"/>
        <v>1.5271195365981839E-4</v>
      </c>
      <c r="J43">
        <f t="shared" si="4"/>
        <v>0.15271195365981838</v>
      </c>
      <c r="K43" t="s">
        <v>74</v>
      </c>
      <c r="L43">
        <f t="shared" si="5"/>
        <v>95.990000000000009</v>
      </c>
      <c r="M43">
        <f t="shared" si="6"/>
        <v>1.5909152376270275E-3</v>
      </c>
      <c r="O43" s="8"/>
      <c r="P43" s="9">
        <v>4.2299999999999997E-2</v>
      </c>
      <c r="Q43" s="9">
        <v>4.2299999999999997E-2</v>
      </c>
      <c r="R43" s="9">
        <v>4.3200000000000002E-2</v>
      </c>
      <c r="S43" s="8"/>
    </row>
    <row r="44" spans="1:19" x14ac:dyDescent="0.45">
      <c r="A44" s="6" t="s">
        <v>75</v>
      </c>
      <c r="B44">
        <v>4.3099999999999999E-2</v>
      </c>
      <c r="C44">
        <v>4.4200000000000003E-2</v>
      </c>
      <c r="D44">
        <v>5.1200000000000002E-2</v>
      </c>
      <c r="E44">
        <f t="shared" si="8"/>
        <v>4.6166666666666668E-2</v>
      </c>
      <c r="F44">
        <f>E44-0.0430333333333333</f>
        <v>3.1333333333333699E-3</v>
      </c>
      <c r="G44">
        <f t="shared" si="2"/>
        <v>12660</v>
      </c>
      <c r="H44">
        <f t="shared" si="9"/>
        <v>2.4749868351764375E-7</v>
      </c>
      <c r="I44">
        <f t="shared" si="3"/>
        <v>2.4749868351764376E-4</v>
      </c>
      <c r="J44">
        <f t="shared" si="4"/>
        <v>0.24749868351764376</v>
      </c>
      <c r="L44">
        <f t="shared" si="5"/>
        <v>0</v>
      </c>
      <c r="M44" t="e">
        <f t="shared" si="6"/>
        <v>#DIV/0!</v>
      </c>
      <c r="O44" s="8"/>
      <c r="P44" s="9">
        <v>4.3099999999999999E-2</v>
      </c>
      <c r="Q44" s="9">
        <v>4.3400000000000001E-2</v>
      </c>
      <c r="R44" s="9">
        <v>4.2200000000000001E-2</v>
      </c>
      <c r="S44" s="8"/>
    </row>
    <row r="45" spans="1:19" x14ac:dyDescent="0.45">
      <c r="A45" s="6" t="s">
        <v>76</v>
      </c>
      <c r="B45">
        <v>4.3900000000000002E-2</v>
      </c>
      <c r="C45">
        <v>4.36E-2</v>
      </c>
      <c r="D45">
        <v>4.3400000000000001E-2</v>
      </c>
      <c r="E45">
        <f t="shared" si="8"/>
        <v>4.363333333333333E-2</v>
      </c>
      <c r="F45">
        <f t="shared" ref="F45:F64" si="11">E45-0.0430333333333333</f>
        <v>6.0000000000003106E-4</v>
      </c>
      <c r="G45">
        <f t="shared" si="2"/>
        <v>12660</v>
      </c>
      <c r="H45">
        <f t="shared" si="9"/>
        <v>4.7393364928912409E-8</v>
      </c>
      <c r="I45">
        <f t="shared" si="3"/>
        <v>4.7393364928912411E-5</v>
      </c>
      <c r="J45">
        <f t="shared" si="4"/>
        <v>4.7393364928912413E-2</v>
      </c>
      <c r="M45" t="e">
        <f t="shared" si="6"/>
        <v>#DIV/0!</v>
      </c>
      <c r="O45" s="8"/>
      <c r="P45" s="9">
        <v>4.2799999999999998E-2</v>
      </c>
      <c r="Q45" s="9">
        <v>4.24E-2</v>
      </c>
      <c r="R45" s="9">
        <v>4.24E-2</v>
      </c>
      <c r="S45" s="8"/>
    </row>
    <row r="46" spans="1:19" x14ac:dyDescent="0.45">
      <c r="A46" s="6" t="s">
        <v>77</v>
      </c>
      <c r="B46">
        <v>5.79E-2</v>
      </c>
      <c r="C46">
        <v>5.7200000000000001E-2</v>
      </c>
      <c r="D46">
        <v>5.7799999999999997E-2</v>
      </c>
      <c r="E46">
        <f t="shared" si="8"/>
        <v>5.7633333333333335E-2</v>
      </c>
      <c r="F46">
        <f t="shared" si="11"/>
        <v>1.4600000000000037E-2</v>
      </c>
      <c r="G46">
        <f t="shared" si="2"/>
        <v>12660</v>
      </c>
      <c r="H46">
        <f t="shared" si="9"/>
        <v>1.1532385466034785E-6</v>
      </c>
      <c r="I46">
        <f t="shared" si="3"/>
        <v>1.1532385466034784E-3</v>
      </c>
      <c r="J46">
        <f t="shared" si="4"/>
        <v>1.1532385466034785</v>
      </c>
      <c r="M46" t="e">
        <f t="shared" si="6"/>
        <v>#DIV/0!</v>
      </c>
      <c r="O46" s="8"/>
      <c r="P46" s="8"/>
      <c r="Q46" s="8"/>
      <c r="R46" s="8"/>
      <c r="S46" s="8">
        <f>AVERAGE(P43:R45)</f>
        <v>4.267777777777778E-2</v>
      </c>
    </row>
    <row r="47" spans="1:19" x14ac:dyDescent="0.45">
      <c r="A47" s="6" t="s">
        <v>78</v>
      </c>
      <c r="B47">
        <v>4.58E-2</v>
      </c>
      <c r="C47">
        <v>4.3900000000000002E-2</v>
      </c>
      <c r="D47">
        <v>4.3299999999999998E-2</v>
      </c>
      <c r="E47">
        <f t="shared" si="8"/>
        <v>4.4333333333333336E-2</v>
      </c>
      <c r="F47">
        <f t="shared" si="11"/>
        <v>1.3000000000000372E-3</v>
      </c>
      <c r="G47">
        <f t="shared" si="2"/>
        <v>12660</v>
      </c>
      <c r="H47">
        <f t="shared" si="9"/>
        <v>1.0268562401264117E-7</v>
      </c>
      <c r="I47">
        <f t="shared" si="3"/>
        <v>1.0268562401264117E-4</v>
      </c>
      <c r="J47">
        <f t="shared" si="4"/>
        <v>0.10268562401264117</v>
      </c>
      <c r="M47" t="e">
        <f t="shared" si="6"/>
        <v>#DIV/0!</v>
      </c>
    </row>
    <row r="48" spans="1:19" x14ac:dyDescent="0.45">
      <c r="A48" s="6" t="s">
        <v>79</v>
      </c>
      <c r="B48">
        <v>4.3900000000000002E-2</v>
      </c>
      <c r="C48">
        <v>4.36E-2</v>
      </c>
      <c r="D48">
        <v>4.3700000000000003E-2</v>
      </c>
      <c r="E48">
        <f t="shared" si="8"/>
        <v>4.3733333333333325E-2</v>
      </c>
      <c r="F48">
        <f t="shared" si="11"/>
        <v>7.0000000000002699E-4</v>
      </c>
      <c r="G48">
        <f t="shared" si="2"/>
        <v>12660</v>
      </c>
      <c r="H48">
        <f t="shared" si="9"/>
        <v>5.5292259083730407E-8</v>
      </c>
      <c r="I48">
        <f t="shared" si="3"/>
        <v>5.5292259083730407E-5</v>
      </c>
      <c r="J48">
        <f t="shared" si="4"/>
        <v>5.5292259083730408E-2</v>
      </c>
    </row>
    <row r="49" spans="1:19" x14ac:dyDescent="0.45">
      <c r="A49" s="6" t="s">
        <v>80</v>
      </c>
      <c r="B49">
        <v>4.5400000000000003E-2</v>
      </c>
      <c r="C49">
        <v>4.4699999999999997E-2</v>
      </c>
      <c r="D49">
        <v>4.3999999999999997E-2</v>
      </c>
      <c r="E49">
        <f t="shared" si="8"/>
        <v>4.4699999999999997E-2</v>
      </c>
      <c r="F49">
        <f t="shared" si="11"/>
        <v>1.6666666666666982E-3</v>
      </c>
      <c r="G49">
        <f t="shared" si="2"/>
        <v>12660</v>
      </c>
      <c r="H49">
        <f t="shared" si="9"/>
        <v>1.3164823591364126E-7</v>
      </c>
      <c r="I49">
        <f t="shared" si="3"/>
        <v>1.3164823591364127E-4</v>
      </c>
      <c r="J49">
        <f t="shared" si="4"/>
        <v>0.13164823591364128</v>
      </c>
      <c r="S49">
        <v>4.2677777777777801E-2</v>
      </c>
    </row>
    <row r="50" spans="1:19" x14ac:dyDescent="0.45">
      <c r="A50" s="6" t="s">
        <v>81</v>
      </c>
      <c r="B50">
        <v>4.3700000000000003E-2</v>
      </c>
      <c r="C50">
        <v>4.4900000000000002E-2</v>
      </c>
      <c r="D50">
        <v>4.53E-2</v>
      </c>
      <c r="E50">
        <f t="shared" si="8"/>
        <v>4.4633333333333337E-2</v>
      </c>
      <c r="F50">
        <f t="shared" si="11"/>
        <v>1.6000000000000389E-3</v>
      </c>
      <c r="G50">
        <f t="shared" si="2"/>
        <v>12660</v>
      </c>
      <c r="H50">
        <f t="shared" si="9"/>
        <v>1.2638230647709628E-7</v>
      </c>
      <c r="I50">
        <f t="shared" si="3"/>
        <v>1.2638230647709628E-4</v>
      </c>
      <c r="J50">
        <f t="shared" si="4"/>
        <v>0.12638230647709628</v>
      </c>
    </row>
    <row r="51" spans="1:19" x14ac:dyDescent="0.45">
      <c r="A51" s="6" t="s">
        <v>82</v>
      </c>
      <c r="B51">
        <v>4.3900000000000002E-2</v>
      </c>
      <c r="C51">
        <v>4.3099999999999999E-2</v>
      </c>
      <c r="D51">
        <v>4.5900000000000003E-2</v>
      </c>
      <c r="E51">
        <f t="shared" si="8"/>
        <v>4.4299999999999999E-2</v>
      </c>
      <c r="F51">
        <f t="shared" si="11"/>
        <v>1.2666666666667006E-3</v>
      </c>
      <c r="G51">
        <f t="shared" si="2"/>
        <v>12660</v>
      </c>
      <c r="H51">
        <f t="shared" si="9"/>
        <v>1.0005265929436814E-7</v>
      </c>
      <c r="I51">
        <f t="shared" si="3"/>
        <v>1.0005265929436813E-4</v>
      </c>
      <c r="J51">
        <f t="shared" si="4"/>
        <v>0.10005265929436813</v>
      </c>
    </row>
    <row r="52" spans="1:19" x14ac:dyDescent="0.45">
      <c r="A52" s="6" t="s">
        <v>83</v>
      </c>
      <c r="B52">
        <v>4.6800000000000001E-2</v>
      </c>
      <c r="C52">
        <v>4.5900000000000003E-2</v>
      </c>
      <c r="D52">
        <v>4.6699999999999998E-2</v>
      </c>
      <c r="E52">
        <f t="shared" si="8"/>
        <v>4.6466666666666663E-2</v>
      </c>
      <c r="F52">
        <f t="shared" si="11"/>
        <v>3.4333333333333646E-3</v>
      </c>
      <c r="G52">
        <f t="shared" si="2"/>
        <v>12660</v>
      </c>
      <c r="H52">
        <f t="shared" si="9"/>
        <v>2.7119536598209829E-7</v>
      </c>
      <c r="I52">
        <f t="shared" si="3"/>
        <v>2.7119536598209831E-4</v>
      </c>
      <c r="J52">
        <f t="shared" si="4"/>
        <v>0.27119536598209831</v>
      </c>
    </row>
    <row r="53" spans="1:19" x14ac:dyDescent="0.45">
      <c r="A53" s="6" t="s">
        <v>84</v>
      </c>
      <c r="B53">
        <v>4.48E-2</v>
      </c>
      <c r="C53">
        <v>4.3200000000000002E-2</v>
      </c>
      <c r="D53">
        <v>4.3799999999999999E-2</v>
      </c>
      <c r="E53">
        <f t="shared" si="8"/>
        <v>4.3933333333333331E-2</v>
      </c>
      <c r="F53">
        <f t="shared" si="11"/>
        <v>9.0000000000003272E-4</v>
      </c>
      <c r="G53">
        <f t="shared" si="2"/>
        <v>12660</v>
      </c>
      <c r="H53">
        <f t="shared" si="9"/>
        <v>7.1090047393367509E-8</v>
      </c>
      <c r="I53">
        <f t="shared" si="3"/>
        <v>7.1090047393367509E-5</v>
      </c>
      <c r="J53">
        <f t="shared" si="4"/>
        <v>7.1090047393367509E-2</v>
      </c>
      <c r="O53" s="10"/>
      <c r="P53" s="10"/>
      <c r="Q53" s="10"/>
      <c r="R53" s="10"/>
      <c r="S53" s="10"/>
    </row>
    <row r="54" spans="1:19" x14ac:dyDescent="0.45">
      <c r="A54" s="6" t="s">
        <v>85</v>
      </c>
      <c r="B54">
        <v>4.3999999999999997E-2</v>
      </c>
      <c r="C54">
        <v>4.36E-2</v>
      </c>
      <c r="D54">
        <v>4.4299999999999999E-2</v>
      </c>
      <c r="E54">
        <f t="shared" si="8"/>
        <v>4.3966666666666661E-2</v>
      </c>
      <c r="F54">
        <f t="shared" si="11"/>
        <v>9.3333333333336238E-4</v>
      </c>
      <c r="G54">
        <f t="shared" si="2"/>
        <v>12660</v>
      </c>
      <c r="H54">
        <f t="shared" si="9"/>
        <v>7.3723012111639996E-8</v>
      </c>
      <c r="I54">
        <f t="shared" si="3"/>
        <v>7.3723012111639991E-5</v>
      </c>
      <c r="J54">
        <f t="shared" si="4"/>
        <v>7.3723012111639993E-2</v>
      </c>
      <c r="O54" s="10" t="s">
        <v>116</v>
      </c>
      <c r="P54" s="10"/>
      <c r="Q54" s="10"/>
      <c r="R54" s="10"/>
      <c r="S54" s="10"/>
    </row>
    <row r="55" spans="1:19" x14ac:dyDescent="0.45">
      <c r="A55" s="6" t="s">
        <v>86</v>
      </c>
      <c r="B55">
        <v>4.4999999999999998E-2</v>
      </c>
      <c r="C55">
        <v>4.4200000000000003E-2</v>
      </c>
      <c r="D55">
        <v>4.4499999999999998E-2</v>
      </c>
      <c r="E55">
        <f t="shared" si="8"/>
        <v>4.4566666666666664E-2</v>
      </c>
      <c r="F55">
        <f t="shared" si="11"/>
        <v>1.5333333333333657E-3</v>
      </c>
      <c r="G55">
        <f t="shared" si="2"/>
        <v>12660</v>
      </c>
      <c r="H55">
        <f t="shared" si="9"/>
        <v>1.2111637704055022E-7</v>
      </c>
      <c r="I55">
        <f t="shared" si="3"/>
        <v>1.2111637704055021E-4</v>
      </c>
      <c r="J55">
        <f t="shared" si="4"/>
        <v>0.12111637704055021</v>
      </c>
      <c r="O55" s="10"/>
      <c r="P55" s="10">
        <v>4.4699999999999997E-2</v>
      </c>
      <c r="Q55" s="10">
        <v>4.2500000000000003E-2</v>
      </c>
      <c r="R55" s="10">
        <v>4.3400000000000001E-2</v>
      </c>
      <c r="S55" s="10"/>
    </row>
    <row r="56" spans="1:19" x14ac:dyDescent="0.45">
      <c r="A56" s="6" t="s">
        <v>37</v>
      </c>
      <c r="B56">
        <v>4.3400000000000001E-2</v>
      </c>
      <c r="C56">
        <v>4.3299999999999998E-2</v>
      </c>
      <c r="D56">
        <v>4.3299999999999998E-2</v>
      </c>
      <c r="E56">
        <f t="shared" si="8"/>
        <v>4.3333333333333335E-2</v>
      </c>
      <c r="F56">
        <f t="shared" si="11"/>
        <v>3.0000000000003635E-4</v>
      </c>
      <c r="G56">
        <f t="shared" si="2"/>
        <v>12660</v>
      </c>
      <c r="H56">
        <f t="shared" si="9"/>
        <v>2.3696682464457849E-8</v>
      </c>
      <c r="I56">
        <f t="shared" si="3"/>
        <v>2.3696682464457849E-5</v>
      </c>
      <c r="J56">
        <f t="shared" si="4"/>
        <v>2.3696682464457847E-2</v>
      </c>
      <c r="O56" s="10"/>
      <c r="P56" s="10">
        <v>4.2700000000000002E-2</v>
      </c>
      <c r="Q56" s="10">
        <v>4.6699999999999998E-2</v>
      </c>
      <c r="R56" s="10">
        <v>4.2700000000000002E-2</v>
      </c>
      <c r="S56" s="10"/>
    </row>
    <row r="57" spans="1:19" x14ac:dyDescent="0.45">
      <c r="A57" s="6" t="s">
        <v>38</v>
      </c>
      <c r="B57">
        <v>4.5199999999999997E-2</v>
      </c>
      <c r="C57">
        <v>4.6800000000000001E-2</v>
      </c>
      <c r="D57">
        <v>4.3999999999999997E-2</v>
      </c>
      <c r="E57">
        <f t="shared" si="8"/>
        <v>4.5333333333333337E-2</v>
      </c>
      <c r="F57">
        <f t="shared" si="11"/>
        <v>2.3000000000000381E-3</v>
      </c>
      <c r="G57">
        <f t="shared" si="2"/>
        <v>12660</v>
      </c>
      <c r="H57">
        <f t="shared" si="9"/>
        <v>1.8167456556082449E-7</v>
      </c>
      <c r="I57">
        <f t="shared" si="3"/>
        <v>1.8167456556082449E-4</v>
      </c>
      <c r="J57">
        <f t="shared" si="4"/>
        <v>0.18167456556082448</v>
      </c>
      <c r="O57" s="10"/>
      <c r="P57" s="10">
        <v>4.5499999999999999E-2</v>
      </c>
      <c r="Q57" s="10">
        <v>4.2999999999999997E-2</v>
      </c>
      <c r="R57" s="10">
        <v>4.3499999999999997E-2</v>
      </c>
      <c r="S57" s="10"/>
    </row>
    <row r="58" spans="1:19" x14ac:dyDescent="0.45">
      <c r="A58" s="6" t="s">
        <v>39</v>
      </c>
      <c r="B58">
        <v>4.41E-2</v>
      </c>
      <c r="C58">
        <v>4.4400000000000002E-2</v>
      </c>
      <c r="D58">
        <v>4.3900000000000002E-2</v>
      </c>
      <c r="E58">
        <f t="shared" si="8"/>
        <v>4.413333333333333E-2</v>
      </c>
      <c r="F58">
        <f t="shared" si="11"/>
        <v>1.1000000000000315E-3</v>
      </c>
      <c r="G58">
        <f t="shared" si="2"/>
        <v>12660</v>
      </c>
      <c r="H58">
        <f t="shared" si="9"/>
        <v>8.6887835703004074E-8</v>
      </c>
      <c r="I58">
        <f t="shared" si="3"/>
        <v>8.6887835703004069E-5</v>
      </c>
      <c r="J58">
        <f t="shared" si="4"/>
        <v>8.6887835703004068E-2</v>
      </c>
      <c r="O58" s="10"/>
      <c r="P58" s="10"/>
      <c r="Q58" s="10"/>
      <c r="R58" s="10"/>
      <c r="S58" s="10">
        <f>AVERAGE(P55:R57)</f>
        <v>4.385555555555555E-2</v>
      </c>
    </row>
    <row r="59" spans="1:19" x14ac:dyDescent="0.45">
      <c r="A59" s="6" t="s">
        <v>87</v>
      </c>
      <c r="B59">
        <v>4.4200000000000003E-2</v>
      </c>
      <c r="C59">
        <v>4.3700000000000003E-2</v>
      </c>
      <c r="D59">
        <v>4.4699999999999997E-2</v>
      </c>
      <c r="E59">
        <f t="shared" si="8"/>
        <v>4.4199999999999996E-2</v>
      </c>
      <c r="F59">
        <f t="shared" si="11"/>
        <v>1.1666666666666978E-3</v>
      </c>
      <c r="G59">
        <f t="shared" si="2"/>
        <v>12660</v>
      </c>
      <c r="H59">
        <f t="shared" si="9"/>
        <v>9.2153765139549592E-8</v>
      </c>
      <c r="I59">
        <f t="shared" si="3"/>
        <v>9.2153765139549589E-5</v>
      </c>
      <c r="J59">
        <f t="shared" si="4"/>
        <v>9.2153765139549593E-2</v>
      </c>
    </row>
    <row r="60" spans="1:19" x14ac:dyDescent="0.45">
      <c r="A60" s="6" t="s">
        <v>88</v>
      </c>
      <c r="B60">
        <v>4.5100000000000001E-2</v>
      </c>
      <c r="C60">
        <v>4.4400000000000002E-2</v>
      </c>
      <c r="D60">
        <v>4.4600000000000001E-2</v>
      </c>
      <c r="E60">
        <f t="shared" si="8"/>
        <v>4.4699999999999997E-2</v>
      </c>
      <c r="F60">
        <f t="shared" si="11"/>
        <v>1.6666666666666982E-3</v>
      </c>
      <c r="G60">
        <f t="shared" si="2"/>
        <v>12660</v>
      </c>
      <c r="H60">
        <f t="shared" si="9"/>
        <v>1.3164823591364126E-7</v>
      </c>
      <c r="I60">
        <f t="shared" si="3"/>
        <v>1.3164823591364127E-4</v>
      </c>
      <c r="J60">
        <f t="shared" si="4"/>
        <v>0.13164823591364128</v>
      </c>
    </row>
    <row r="61" spans="1:19" x14ac:dyDescent="0.45">
      <c r="A61" s="6" t="s">
        <v>89</v>
      </c>
      <c r="B61">
        <v>4.5100000000000001E-2</v>
      </c>
      <c r="C61">
        <v>4.6199999999999998E-2</v>
      </c>
      <c r="D61">
        <v>4.4699999999999997E-2</v>
      </c>
      <c r="E61">
        <f t="shared" si="8"/>
        <v>4.533333333333333E-2</v>
      </c>
      <c r="F61">
        <f t="shared" si="11"/>
        <v>2.3000000000000312E-3</v>
      </c>
      <c r="G61">
        <f t="shared" si="2"/>
        <v>12660</v>
      </c>
      <c r="H61">
        <f t="shared" si="9"/>
        <v>1.8167456556082396E-7</v>
      </c>
      <c r="I61">
        <f t="shared" si="3"/>
        <v>1.8167456556082394E-4</v>
      </c>
      <c r="J61">
        <f t="shared" si="4"/>
        <v>0.18167456556082395</v>
      </c>
      <c r="S61">
        <v>4.3855555555555599E-2</v>
      </c>
    </row>
    <row r="62" spans="1:19" x14ac:dyDescent="0.45">
      <c r="A62" s="6" t="s">
        <v>90</v>
      </c>
      <c r="B62">
        <v>4.5699999999999998E-2</v>
      </c>
      <c r="C62">
        <v>4.3200000000000002E-2</v>
      </c>
      <c r="D62">
        <v>4.3200000000000002E-2</v>
      </c>
      <c r="E62">
        <f t="shared" si="8"/>
        <v>4.4033333333333334E-2</v>
      </c>
      <c r="F62">
        <f t="shared" si="11"/>
        <v>1.0000000000000356E-3</v>
      </c>
      <c r="G62">
        <f t="shared" si="2"/>
        <v>12660</v>
      </c>
      <c r="H62">
        <f t="shared" si="9"/>
        <v>7.898894154818607E-8</v>
      </c>
      <c r="I62">
        <f t="shared" si="3"/>
        <v>7.8988941548186067E-5</v>
      </c>
      <c r="J62">
        <f t="shared" si="4"/>
        <v>7.8988941548186073E-2</v>
      </c>
    </row>
    <row r="63" spans="1:19" x14ac:dyDescent="0.45">
      <c r="A63" s="6" t="s">
        <v>91</v>
      </c>
      <c r="B63">
        <v>4.5400000000000003E-2</v>
      </c>
      <c r="C63">
        <v>4.4299999999999999E-2</v>
      </c>
      <c r="D63">
        <v>4.4299999999999999E-2</v>
      </c>
      <c r="E63">
        <f t="shared" si="8"/>
        <v>4.4666666666666667E-2</v>
      </c>
      <c r="F63">
        <f t="shared" si="11"/>
        <v>1.6333333333333686E-3</v>
      </c>
      <c r="G63">
        <f t="shared" si="2"/>
        <v>12660</v>
      </c>
      <c r="H63">
        <f t="shared" si="9"/>
        <v>1.2901527119536876E-7</v>
      </c>
      <c r="I63">
        <f t="shared" si="3"/>
        <v>1.2901527119536874E-4</v>
      </c>
      <c r="J63">
        <f t="shared" si="4"/>
        <v>0.12901527119536874</v>
      </c>
    </row>
    <row r="64" spans="1:19" x14ac:dyDescent="0.45">
      <c r="A64" s="6" t="s">
        <v>92</v>
      </c>
      <c r="B64">
        <v>6.6900000000000001E-2</v>
      </c>
      <c r="C64">
        <v>6.7900000000000002E-2</v>
      </c>
      <c r="D64">
        <v>6.8500000000000005E-2</v>
      </c>
      <c r="E64">
        <f t="shared" si="8"/>
        <v>6.7766666666666669E-2</v>
      </c>
      <c r="F64">
        <f t="shared" si="11"/>
        <v>2.4733333333333371E-2</v>
      </c>
      <c r="G64">
        <f t="shared" si="2"/>
        <v>12660</v>
      </c>
      <c r="H64">
        <f t="shared" si="9"/>
        <v>1.9536598209584021E-6</v>
      </c>
      <c r="I64">
        <f t="shared" si="3"/>
        <v>1.9536598209584019E-3</v>
      </c>
      <c r="J64">
        <f t="shared" si="4"/>
        <v>1.953659820958402</v>
      </c>
    </row>
    <row r="65" spans="1:19" x14ac:dyDescent="0.45">
      <c r="A65" s="8" t="s">
        <v>95</v>
      </c>
      <c r="B65">
        <v>4.3799999999999999E-2</v>
      </c>
      <c r="C65">
        <v>4.4299999999999999E-2</v>
      </c>
      <c r="D65">
        <v>4.53E-2</v>
      </c>
      <c r="E65">
        <f t="shared" si="8"/>
        <v>4.4466666666666661E-2</v>
      </c>
      <c r="F65">
        <f>E65-0.0426777777777778</f>
        <v>1.7888888888888607E-3</v>
      </c>
      <c r="G65">
        <f t="shared" si="2"/>
        <v>12660</v>
      </c>
      <c r="H65">
        <f t="shared" si="9"/>
        <v>1.4130243988063671E-7</v>
      </c>
      <c r="I65">
        <f t="shared" si="3"/>
        <v>1.4130243988063671E-4</v>
      </c>
      <c r="J65">
        <f t="shared" si="4"/>
        <v>0.1413024398806367</v>
      </c>
      <c r="O65" s="11" t="s">
        <v>132</v>
      </c>
      <c r="P65" s="11"/>
      <c r="Q65" s="11"/>
      <c r="R65" s="11"/>
      <c r="S65" s="11"/>
    </row>
    <row r="66" spans="1:19" x14ac:dyDescent="0.45">
      <c r="A66" s="8" t="s">
        <v>96</v>
      </c>
      <c r="B66">
        <v>4.4600000000000001E-2</v>
      </c>
      <c r="C66">
        <v>4.41E-2</v>
      </c>
      <c r="D66">
        <v>4.41E-2</v>
      </c>
      <c r="E66">
        <f t="shared" si="8"/>
        <v>4.4266666666666669E-2</v>
      </c>
      <c r="F66">
        <f t="shared" ref="F66:F85" si="12">E66-0.0426777777777778</f>
        <v>1.5888888888888689E-3</v>
      </c>
      <c r="G66">
        <f t="shared" si="2"/>
        <v>12660</v>
      </c>
      <c r="H66">
        <f t="shared" si="9"/>
        <v>1.255046515710007E-7</v>
      </c>
      <c r="I66">
        <f t="shared" si="3"/>
        <v>1.2550465157100071E-4</v>
      </c>
      <c r="J66">
        <f t="shared" si="4"/>
        <v>0.12550465157100071</v>
      </c>
      <c r="O66" s="11"/>
      <c r="P66" s="11">
        <v>4.2999999999999997E-2</v>
      </c>
      <c r="Q66" s="11">
        <v>4.24E-2</v>
      </c>
      <c r="R66" s="11">
        <v>4.3299999999999998E-2</v>
      </c>
      <c r="S66" s="11"/>
    </row>
    <row r="67" spans="1:19" x14ac:dyDescent="0.45">
      <c r="A67" s="8" t="s">
        <v>97</v>
      </c>
      <c r="B67">
        <v>6.4899999999999999E-2</v>
      </c>
      <c r="C67">
        <v>6.4399999999999999E-2</v>
      </c>
      <c r="D67">
        <v>6.5299999999999997E-2</v>
      </c>
      <c r="E67">
        <f t="shared" si="8"/>
        <v>6.486666666666667E-2</v>
      </c>
      <c r="F67">
        <f t="shared" si="12"/>
        <v>2.2188888888888869E-2</v>
      </c>
      <c r="G67">
        <f t="shared" ref="G67:G130" si="13">25320*0.5</f>
        <v>12660</v>
      </c>
      <c r="H67">
        <f t="shared" si="9"/>
        <v>1.7526768474635758E-6</v>
      </c>
      <c r="I67">
        <f t="shared" ref="I67:I130" si="14">H67/0.001</f>
        <v>1.7526768474635758E-3</v>
      </c>
      <c r="J67">
        <f t="shared" ref="J67:J130" si="15">I67*1000</f>
        <v>1.7526768474635757</v>
      </c>
      <c r="O67" s="11"/>
      <c r="P67" s="11">
        <v>4.2500000000000003E-2</v>
      </c>
      <c r="Q67" s="11">
        <v>4.2500000000000003E-2</v>
      </c>
      <c r="R67" s="11">
        <v>4.2099999999999999E-2</v>
      </c>
      <c r="S67" s="11"/>
    </row>
    <row r="68" spans="1:19" x14ac:dyDescent="0.45">
      <c r="A68" s="8" t="s">
        <v>98</v>
      </c>
      <c r="B68">
        <v>4.5400000000000003E-2</v>
      </c>
      <c r="C68">
        <v>4.5400000000000003E-2</v>
      </c>
      <c r="D68">
        <v>4.3200000000000002E-2</v>
      </c>
      <c r="E68">
        <f t="shared" si="8"/>
        <v>4.4666666666666667E-2</v>
      </c>
      <c r="F68">
        <f t="shared" si="12"/>
        <v>1.9888888888888664E-3</v>
      </c>
      <c r="G68">
        <f t="shared" si="13"/>
        <v>12660</v>
      </c>
      <c r="H68">
        <f t="shared" si="9"/>
        <v>1.5710022819027381E-7</v>
      </c>
      <c r="I68">
        <f t="shared" si="14"/>
        <v>1.571002281902738E-4</v>
      </c>
      <c r="J68">
        <f t="shared" si="15"/>
        <v>0.15710022819027381</v>
      </c>
      <c r="O68" s="11"/>
      <c r="P68" s="11">
        <v>4.2500000000000003E-2</v>
      </c>
      <c r="Q68" s="11">
        <v>4.24E-2</v>
      </c>
      <c r="R68" s="11">
        <v>4.2500000000000003E-2</v>
      </c>
      <c r="S68" s="11"/>
    </row>
    <row r="69" spans="1:19" x14ac:dyDescent="0.45">
      <c r="A69" s="8" t="s">
        <v>99</v>
      </c>
      <c r="B69">
        <v>4.4900000000000002E-2</v>
      </c>
      <c r="C69">
        <v>4.5100000000000001E-2</v>
      </c>
      <c r="D69">
        <v>4.3999999999999997E-2</v>
      </c>
      <c r="E69">
        <f t="shared" si="8"/>
        <v>4.4666666666666667E-2</v>
      </c>
      <c r="F69">
        <f t="shared" si="12"/>
        <v>1.9888888888888664E-3</v>
      </c>
      <c r="G69">
        <f t="shared" si="13"/>
        <v>12660</v>
      </c>
      <c r="H69">
        <f t="shared" si="9"/>
        <v>1.5710022819027381E-7</v>
      </c>
      <c r="I69">
        <f t="shared" si="14"/>
        <v>1.571002281902738E-4</v>
      </c>
      <c r="J69">
        <f t="shared" si="15"/>
        <v>0.15710022819027381</v>
      </c>
      <c r="O69" s="11"/>
      <c r="P69" s="11"/>
      <c r="Q69" s="11"/>
      <c r="R69" s="11"/>
      <c r="S69" s="11">
        <f>AVERAGE(P66:R68)</f>
        <v>4.2577777777777777E-2</v>
      </c>
    </row>
    <row r="70" spans="1:19" x14ac:dyDescent="0.45">
      <c r="A70" s="8" t="s">
        <v>100</v>
      </c>
      <c r="B70">
        <v>4.4200000000000003E-2</v>
      </c>
      <c r="C70">
        <v>4.3299999999999998E-2</v>
      </c>
      <c r="D70">
        <v>4.6199999999999998E-2</v>
      </c>
      <c r="E70">
        <f t="shared" si="8"/>
        <v>4.4566666666666664E-2</v>
      </c>
      <c r="F70">
        <f t="shared" si="12"/>
        <v>1.8888888888888636E-3</v>
      </c>
      <c r="G70">
        <f t="shared" si="13"/>
        <v>12660</v>
      </c>
      <c r="H70">
        <f t="shared" si="9"/>
        <v>1.4920133403545527E-7</v>
      </c>
      <c r="I70">
        <f t="shared" si="14"/>
        <v>1.4920133403545526E-4</v>
      </c>
      <c r="J70">
        <f t="shared" si="15"/>
        <v>0.14920133403545527</v>
      </c>
    </row>
    <row r="71" spans="1:19" x14ac:dyDescent="0.45">
      <c r="A71" s="8" t="s">
        <v>101</v>
      </c>
      <c r="B71">
        <v>4.3700000000000003E-2</v>
      </c>
      <c r="C71">
        <v>4.4699999999999997E-2</v>
      </c>
      <c r="D71">
        <v>4.5199999999999997E-2</v>
      </c>
      <c r="E71">
        <f t="shared" si="8"/>
        <v>4.4533333333333334E-2</v>
      </c>
      <c r="F71">
        <f t="shared" si="12"/>
        <v>1.8555555555555339E-3</v>
      </c>
      <c r="G71">
        <f t="shared" si="13"/>
        <v>12660</v>
      </c>
      <c r="H71">
        <f t="shared" si="9"/>
        <v>1.4656836931718277E-7</v>
      </c>
      <c r="I71">
        <f t="shared" si="14"/>
        <v>1.4656836931718276E-4</v>
      </c>
      <c r="J71">
        <f t="shared" si="15"/>
        <v>0.14656836931718276</v>
      </c>
    </row>
    <row r="72" spans="1:19" x14ac:dyDescent="0.45">
      <c r="A72" s="8" t="s">
        <v>102</v>
      </c>
      <c r="B72">
        <v>4.7399999999999998E-2</v>
      </c>
      <c r="C72">
        <v>4.3200000000000002E-2</v>
      </c>
      <c r="D72">
        <v>4.5499999999999999E-2</v>
      </c>
      <c r="E72">
        <f t="shared" ref="E72:E135" si="16">AVERAGE(B72:D72)</f>
        <v>4.5366666666666666E-2</v>
      </c>
      <c r="F72">
        <f t="shared" si="12"/>
        <v>2.6888888888888657E-3</v>
      </c>
      <c r="G72">
        <f t="shared" si="13"/>
        <v>12660</v>
      </c>
      <c r="H72">
        <f t="shared" si="9"/>
        <v>2.1239248727400204E-7</v>
      </c>
      <c r="I72">
        <f t="shared" si="14"/>
        <v>2.1239248727400204E-4</v>
      </c>
      <c r="J72">
        <f t="shared" si="15"/>
        <v>0.21239248727400203</v>
      </c>
      <c r="S72">
        <v>4.2577777777777798E-2</v>
      </c>
    </row>
    <row r="73" spans="1:19" x14ac:dyDescent="0.45">
      <c r="A73" s="8" t="s">
        <v>103</v>
      </c>
      <c r="B73">
        <v>4.4900000000000002E-2</v>
      </c>
      <c r="C73">
        <v>4.5100000000000001E-2</v>
      </c>
      <c r="D73">
        <v>4.4900000000000002E-2</v>
      </c>
      <c r="E73">
        <f t="shared" si="16"/>
        <v>4.4966666666666662E-2</v>
      </c>
      <c r="F73">
        <f t="shared" si="12"/>
        <v>2.2888888888888612E-3</v>
      </c>
      <c r="G73">
        <f t="shared" si="13"/>
        <v>12660</v>
      </c>
      <c r="H73">
        <f t="shared" ref="H73:H136" si="17">F73/G73</f>
        <v>1.8079691065472838E-7</v>
      </c>
      <c r="I73">
        <f t="shared" si="14"/>
        <v>1.8079691065472838E-4</v>
      </c>
      <c r="J73">
        <f t="shared" si="15"/>
        <v>0.18079691065472839</v>
      </c>
    </row>
    <row r="74" spans="1:19" x14ac:dyDescent="0.45">
      <c r="A74" s="8" t="s">
        <v>104</v>
      </c>
      <c r="B74">
        <v>4.5100000000000001E-2</v>
      </c>
      <c r="C74">
        <v>4.3099999999999999E-2</v>
      </c>
      <c r="D74">
        <v>4.3999999999999997E-2</v>
      </c>
      <c r="E74">
        <f t="shared" si="16"/>
        <v>4.4066666666666664E-2</v>
      </c>
      <c r="F74">
        <f t="shared" si="12"/>
        <v>1.3888888888888631E-3</v>
      </c>
      <c r="G74">
        <f t="shared" si="13"/>
        <v>12660</v>
      </c>
      <c r="H74">
        <f t="shared" si="17"/>
        <v>1.0970686326136359E-7</v>
      </c>
      <c r="I74">
        <f t="shared" si="14"/>
        <v>1.0970686326136359E-4</v>
      </c>
      <c r="J74">
        <f t="shared" si="15"/>
        <v>0.1097068632613636</v>
      </c>
    </row>
    <row r="75" spans="1:19" x14ac:dyDescent="0.45">
      <c r="A75" s="8" t="s">
        <v>105</v>
      </c>
      <c r="B75">
        <v>4.4299999999999999E-2</v>
      </c>
      <c r="C75">
        <v>4.4200000000000003E-2</v>
      </c>
      <c r="D75">
        <v>4.4499999999999998E-2</v>
      </c>
      <c r="E75">
        <f t="shared" si="16"/>
        <v>4.4333333333333336E-2</v>
      </c>
      <c r="F75">
        <f t="shared" si="12"/>
        <v>1.6555555555555351E-3</v>
      </c>
      <c r="G75">
        <f t="shared" si="13"/>
        <v>12660</v>
      </c>
      <c r="H75">
        <f t="shared" si="17"/>
        <v>1.3077058100754623E-7</v>
      </c>
      <c r="I75">
        <f t="shared" si="14"/>
        <v>1.3077058100754624E-4</v>
      </c>
      <c r="J75">
        <f t="shared" si="15"/>
        <v>0.13077058100754624</v>
      </c>
    </row>
    <row r="76" spans="1:19" x14ac:dyDescent="0.45">
      <c r="A76" s="8" t="s">
        <v>106</v>
      </c>
      <c r="B76">
        <v>4.4499999999999998E-2</v>
      </c>
      <c r="C76">
        <v>4.4200000000000003E-2</v>
      </c>
      <c r="D76">
        <v>4.4499999999999998E-2</v>
      </c>
      <c r="E76">
        <f t="shared" si="16"/>
        <v>4.4399999999999995E-2</v>
      </c>
      <c r="F76">
        <f t="shared" si="12"/>
        <v>1.7222222222221945E-3</v>
      </c>
      <c r="G76">
        <f t="shared" si="13"/>
        <v>12660</v>
      </c>
      <c r="H76">
        <f t="shared" si="17"/>
        <v>1.3603651044409118E-7</v>
      </c>
      <c r="I76">
        <f t="shared" si="14"/>
        <v>1.3603651044409118E-4</v>
      </c>
      <c r="J76">
        <f t="shared" si="15"/>
        <v>0.13603651044409118</v>
      </c>
    </row>
    <row r="77" spans="1:19" x14ac:dyDescent="0.45">
      <c r="A77" s="8" t="s">
        <v>107</v>
      </c>
      <c r="B77">
        <v>4.4200000000000003E-2</v>
      </c>
      <c r="C77">
        <v>4.36E-2</v>
      </c>
      <c r="D77">
        <v>4.2999999999999997E-2</v>
      </c>
      <c r="E77">
        <f t="shared" si="16"/>
        <v>4.36E-2</v>
      </c>
      <c r="F77">
        <f t="shared" si="12"/>
        <v>9.2222222222219929E-4</v>
      </c>
      <c r="G77">
        <f t="shared" si="13"/>
        <v>12660</v>
      </c>
      <c r="H77">
        <f t="shared" si="17"/>
        <v>7.2845357205544972E-8</v>
      </c>
      <c r="I77">
        <f t="shared" si="14"/>
        <v>7.2845357205544967E-5</v>
      </c>
      <c r="J77">
        <f t="shared" si="15"/>
        <v>7.2845357205544969E-2</v>
      </c>
    </row>
    <row r="78" spans="1:19" x14ac:dyDescent="0.45">
      <c r="A78" s="8" t="s">
        <v>108</v>
      </c>
      <c r="B78">
        <v>4.2700000000000002E-2</v>
      </c>
      <c r="C78">
        <v>4.36E-2</v>
      </c>
      <c r="D78">
        <v>4.41E-2</v>
      </c>
      <c r="E78">
        <f t="shared" si="16"/>
        <v>4.3466666666666674E-2</v>
      </c>
      <c r="F78">
        <f t="shared" si="12"/>
        <v>7.8888888888887371E-4</v>
      </c>
      <c r="G78">
        <f t="shared" si="13"/>
        <v>12660</v>
      </c>
      <c r="H78">
        <f t="shared" si="17"/>
        <v>6.231349833245448E-8</v>
      </c>
      <c r="I78">
        <f t="shared" si="14"/>
        <v>6.2313498332454482E-5</v>
      </c>
      <c r="J78">
        <f t="shared" si="15"/>
        <v>6.2313498332454482E-2</v>
      </c>
    </row>
    <row r="79" spans="1:19" x14ac:dyDescent="0.45">
      <c r="A79" s="8" t="s">
        <v>109</v>
      </c>
      <c r="B79">
        <v>4.3700000000000003E-2</v>
      </c>
      <c r="C79">
        <v>4.3999999999999997E-2</v>
      </c>
      <c r="D79">
        <v>4.3700000000000003E-2</v>
      </c>
      <c r="E79">
        <f t="shared" si="16"/>
        <v>4.3800000000000006E-2</v>
      </c>
      <c r="F79">
        <f t="shared" si="12"/>
        <v>1.122222222222205E-3</v>
      </c>
      <c r="G79">
        <f t="shared" si="13"/>
        <v>12660</v>
      </c>
      <c r="H79">
        <f t="shared" si="17"/>
        <v>8.8643145515182066E-8</v>
      </c>
      <c r="I79">
        <f t="shared" si="14"/>
        <v>8.8643145515182069E-5</v>
      </c>
      <c r="J79">
        <f t="shared" si="15"/>
        <v>8.864314551518207E-2</v>
      </c>
      <c r="O79" s="12" t="s">
        <v>151</v>
      </c>
      <c r="P79" s="12"/>
      <c r="Q79" s="12"/>
      <c r="R79" s="12"/>
      <c r="S79" s="12"/>
    </row>
    <row r="80" spans="1:19" x14ac:dyDescent="0.45">
      <c r="A80" s="8" t="s">
        <v>110</v>
      </c>
      <c r="B80">
        <v>4.2500000000000003E-2</v>
      </c>
      <c r="C80">
        <v>4.2099999999999999E-2</v>
      </c>
      <c r="D80">
        <v>4.2700000000000002E-2</v>
      </c>
      <c r="E80">
        <f t="shared" si="16"/>
        <v>4.2433333333333344E-2</v>
      </c>
      <c r="F80">
        <v>0</v>
      </c>
      <c r="G80">
        <f t="shared" si="13"/>
        <v>12660</v>
      </c>
      <c r="H80">
        <f t="shared" si="17"/>
        <v>0</v>
      </c>
      <c r="I80">
        <f t="shared" si="14"/>
        <v>0</v>
      </c>
      <c r="J80">
        <f t="shared" si="15"/>
        <v>0</v>
      </c>
      <c r="O80" s="12"/>
      <c r="P80" s="12">
        <v>4.2799999999999998E-2</v>
      </c>
      <c r="Q80" s="12">
        <v>4.2900000000000001E-2</v>
      </c>
      <c r="R80" s="12">
        <v>4.3200000000000002E-2</v>
      </c>
      <c r="S80" s="12"/>
    </row>
    <row r="81" spans="1:19" x14ac:dyDescent="0.45">
      <c r="A81" s="8" t="s">
        <v>111</v>
      </c>
      <c r="B81">
        <v>4.7199999999999999E-2</v>
      </c>
      <c r="C81">
        <v>4.6100000000000002E-2</v>
      </c>
      <c r="D81">
        <v>4.65E-2</v>
      </c>
      <c r="E81">
        <f t="shared" si="16"/>
        <v>4.6599999999999996E-2</v>
      </c>
      <c r="F81">
        <f t="shared" si="12"/>
        <v>3.922222222222195E-3</v>
      </c>
      <c r="G81">
        <f t="shared" si="13"/>
        <v>12660</v>
      </c>
      <c r="H81">
        <f t="shared" si="17"/>
        <v>3.0981218185009441E-7</v>
      </c>
      <c r="I81">
        <f t="shared" si="14"/>
        <v>3.0981218185009441E-4</v>
      </c>
      <c r="J81">
        <f t="shared" si="15"/>
        <v>0.3098121818500944</v>
      </c>
      <c r="O81" s="12"/>
      <c r="P81" s="12">
        <v>4.24E-2</v>
      </c>
      <c r="Q81" s="12">
        <v>4.2900000000000001E-2</v>
      </c>
      <c r="R81" s="12">
        <v>4.2299999999999997E-2</v>
      </c>
      <c r="S81" s="12"/>
    </row>
    <row r="82" spans="1:19" x14ac:dyDescent="0.45">
      <c r="A82" s="8" t="s">
        <v>112</v>
      </c>
      <c r="B82">
        <v>4.4999999999999998E-2</v>
      </c>
      <c r="C82">
        <v>4.6399999999999997E-2</v>
      </c>
      <c r="D82">
        <v>4.4699999999999997E-2</v>
      </c>
      <c r="E82">
        <f t="shared" si="16"/>
        <v>4.5366666666666666E-2</v>
      </c>
      <c r="F82">
        <f t="shared" si="12"/>
        <v>2.6888888888888657E-3</v>
      </c>
      <c r="G82">
        <f t="shared" si="13"/>
        <v>12660</v>
      </c>
      <c r="H82">
        <f t="shared" si="17"/>
        <v>2.1239248727400204E-7</v>
      </c>
      <c r="I82">
        <f t="shared" si="14"/>
        <v>2.1239248727400204E-4</v>
      </c>
      <c r="J82">
        <f t="shared" si="15"/>
        <v>0.21239248727400203</v>
      </c>
      <c r="O82" s="12"/>
      <c r="P82" s="12">
        <v>4.2099999999999999E-2</v>
      </c>
      <c r="Q82" s="12">
        <v>4.2099999999999999E-2</v>
      </c>
      <c r="R82" s="12">
        <v>4.2700000000000002E-2</v>
      </c>
      <c r="S82" s="12"/>
    </row>
    <row r="83" spans="1:19" x14ac:dyDescent="0.45">
      <c r="A83" s="8" t="s">
        <v>113</v>
      </c>
      <c r="B83">
        <v>4.48E-2</v>
      </c>
      <c r="C83">
        <v>4.2700000000000002E-2</v>
      </c>
      <c r="D83">
        <v>4.2900000000000001E-2</v>
      </c>
      <c r="E83">
        <f t="shared" si="16"/>
        <v>4.346666666666666E-2</v>
      </c>
      <c r="F83">
        <f t="shared" si="12"/>
        <v>7.8888888888885983E-4</v>
      </c>
      <c r="G83">
        <f t="shared" si="13"/>
        <v>12660</v>
      </c>
      <c r="H83">
        <f t="shared" si="17"/>
        <v>6.2313498332453381E-8</v>
      </c>
      <c r="I83">
        <f t="shared" si="14"/>
        <v>6.2313498332453385E-5</v>
      </c>
      <c r="J83">
        <f t="shared" si="15"/>
        <v>6.2313498332453386E-2</v>
      </c>
      <c r="O83" s="12"/>
      <c r="P83" s="12"/>
      <c r="Q83" s="12"/>
      <c r="R83" s="12"/>
      <c r="S83" s="12">
        <f>AVERAGE(P80:R82)</f>
        <v>4.2599999999999999E-2</v>
      </c>
    </row>
    <row r="84" spans="1:19" x14ac:dyDescent="0.45">
      <c r="A84" s="8" t="s">
        <v>114</v>
      </c>
      <c r="B84">
        <v>4.41E-2</v>
      </c>
      <c r="C84">
        <v>4.2999999999999997E-2</v>
      </c>
      <c r="D84">
        <v>4.3200000000000002E-2</v>
      </c>
      <c r="E84">
        <f t="shared" si="16"/>
        <v>4.3433333333333331E-2</v>
      </c>
      <c r="F84">
        <f t="shared" si="12"/>
        <v>7.5555555555553017E-4</v>
      </c>
      <c r="G84">
        <f t="shared" si="13"/>
        <v>12660</v>
      </c>
      <c r="H84">
        <f t="shared" si="17"/>
        <v>5.9680533614180894E-8</v>
      </c>
      <c r="I84">
        <f t="shared" si="14"/>
        <v>5.9680533614180896E-5</v>
      </c>
      <c r="J84">
        <f t="shared" si="15"/>
        <v>5.9680533614180895E-2</v>
      </c>
    </row>
    <row r="85" spans="1:19" x14ac:dyDescent="0.45">
      <c r="A85" s="8" t="s">
        <v>115</v>
      </c>
      <c r="B85">
        <v>4.6199999999999998E-2</v>
      </c>
      <c r="C85">
        <v>4.6100000000000002E-2</v>
      </c>
      <c r="D85">
        <v>4.5400000000000003E-2</v>
      </c>
      <c r="E85">
        <f t="shared" si="16"/>
        <v>4.5899999999999996E-2</v>
      </c>
      <c r="F85">
        <f t="shared" si="12"/>
        <v>3.2222222222221958E-3</v>
      </c>
      <c r="G85">
        <f t="shared" si="13"/>
        <v>12660</v>
      </c>
      <c r="H85">
        <f t="shared" si="17"/>
        <v>2.545199227663662E-7</v>
      </c>
      <c r="I85">
        <f t="shared" si="14"/>
        <v>2.5451992276636617E-4</v>
      </c>
      <c r="J85">
        <f t="shared" si="15"/>
        <v>0.25451992276636615</v>
      </c>
    </row>
    <row r="86" spans="1:19" x14ac:dyDescent="0.45">
      <c r="A86" s="10" t="s">
        <v>98</v>
      </c>
      <c r="B86">
        <v>4.4200000000000003E-2</v>
      </c>
      <c r="C86">
        <v>4.4900000000000002E-2</v>
      </c>
      <c r="D86">
        <v>4.5400000000000003E-2</v>
      </c>
      <c r="E86">
        <f t="shared" si="16"/>
        <v>4.4833333333333336E-2</v>
      </c>
      <c r="F86">
        <f>E86-0.0438555555555556</f>
        <v>9.7777777777773717E-4</v>
      </c>
      <c r="G86">
        <f t="shared" si="13"/>
        <v>12660</v>
      </c>
      <c r="H86">
        <f t="shared" si="17"/>
        <v>7.7233631735998191E-8</v>
      </c>
      <c r="I86">
        <f t="shared" si="14"/>
        <v>7.7233631735998187E-5</v>
      </c>
      <c r="J86">
        <f t="shared" si="15"/>
        <v>7.723363173599819E-2</v>
      </c>
    </row>
    <row r="87" spans="1:19" x14ac:dyDescent="0.45">
      <c r="A87" s="10" t="s">
        <v>99</v>
      </c>
      <c r="B87">
        <v>4.5499999999999999E-2</v>
      </c>
      <c r="C87">
        <v>4.3900000000000002E-2</v>
      </c>
      <c r="D87">
        <v>4.3799999999999999E-2</v>
      </c>
      <c r="E87">
        <f t="shared" si="16"/>
        <v>4.4400000000000002E-2</v>
      </c>
      <c r="F87">
        <f t="shared" ref="F87:F106" si="18">E87-0.0438555555555556</f>
        <v>5.4444444444440299E-4</v>
      </c>
      <c r="G87">
        <f t="shared" si="13"/>
        <v>12660</v>
      </c>
      <c r="H87">
        <f t="shared" si="17"/>
        <v>4.300509039845205E-8</v>
      </c>
      <c r="I87">
        <f t="shared" si="14"/>
        <v>4.3005090398452049E-5</v>
      </c>
      <c r="J87">
        <f t="shared" si="15"/>
        <v>4.3005090398452052E-2</v>
      </c>
      <c r="S87">
        <v>4.2599999999999999E-2</v>
      </c>
    </row>
    <row r="88" spans="1:19" x14ac:dyDescent="0.45">
      <c r="A88" s="10" t="s">
        <v>100</v>
      </c>
      <c r="B88">
        <v>4.3799999999999999E-2</v>
      </c>
      <c r="C88">
        <v>4.3999999999999997E-2</v>
      </c>
      <c r="D88">
        <v>4.36E-2</v>
      </c>
      <c r="E88">
        <f t="shared" si="16"/>
        <v>4.3799999999999999E-2</v>
      </c>
      <c r="F88">
        <v>0</v>
      </c>
      <c r="G88">
        <f t="shared" si="13"/>
        <v>12660</v>
      </c>
      <c r="H88">
        <f t="shared" si="17"/>
        <v>0</v>
      </c>
      <c r="I88">
        <f t="shared" si="14"/>
        <v>0</v>
      </c>
      <c r="J88">
        <f t="shared" si="15"/>
        <v>0</v>
      </c>
    </row>
    <row r="89" spans="1:19" x14ac:dyDescent="0.45">
      <c r="A89" s="10" t="s">
        <v>117</v>
      </c>
      <c r="B89">
        <v>4.5900000000000003E-2</v>
      </c>
      <c r="C89">
        <v>4.3799999999999999E-2</v>
      </c>
      <c r="D89">
        <v>4.5499999999999999E-2</v>
      </c>
      <c r="E89">
        <f t="shared" si="16"/>
        <v>4.5066666666666665E-2</v>
      </c>
      <c r="F89">
        <f t="shared" si="18"/>
        <v>1.2111111111110656E-3</v>
      </c>
      <c r="G89">
        <f t="shared" si="13"/>
        <v>12660</v>
      </c>
      <c r="H89">
        <f t="shared" si="17"/>
        <v>9.566438476390723E-8</v>
      </c>
      <c r="I89">
        <f t="shared" si="14"/>
        <v>9.5664384763907229E-5</v>
      </c>
      <c r="J89">
        <f t="shared" si="15"/>
        <v>9.5664384763907234E-2</v>
      </c>
    </row>
    <row r="90" spans="1:19" x14ac:dyDescent="0.45">
      <c r="A90" s="10" t="s">
        <v>118</v>
      </c>
      <c r="B90">
        <v>4.3799999999999999E-2</v>
      </c>
      <c r="C90">
        <v>4.3299999999999998E-2</v>
      </c>
      <c r="D90">
        <v>4.3900000000000002E-2</v>
      </c>
      <c r="E90">
        <f t="shared" si="16"/>
        <v>4.3666666666666666E-2</v>
      </c>
      <c r="F90">
        <v>0</v>
      </c>
      <c r="G90">
        <f t="shared" si="13"/>
        <v>12660</v>
      </c>
      <c r="H90">
        <f t="shared" si="17"/>
        <v>0</v>
      </c>
      <c r="I90">
        <f t="shared" si="14"/>
        <v>0</v>
      </c>
      <c r="J90">
        <f t="shared" si="15"/>
        <v>0</v>
      </c>
    </row>
    <row r="91" spans="1:19" x14ac:dyDescent="0.45">
      <c r="A91" s="10" t="s">
        <v>119</v>
      </c>
      <c r="B91">
        <v>4.3900000000000002E-2</v>
      </c>
      <c r="C91">
        <v>4.4499999999999998E-2</v>
      </c>
      <c r="D91">
        <v>4.4699999999999997E-2</v>
      </c>
      <c r="E91">
        <f t="shared" si="16"/>
        <v>4.4366666666666665E-2</v>
      </c>
      <c r="F91">
        <f t="shared" si="18"/>
        <v>5.1111111111106639E-4</v>
      </c>
      <c r="G91">
        <f t="shared" si="13"/>
        <v>12660</v>
      </c>
      <c r="H91">
        <f t="shared" si="17"/>
        <v>4.037212568017902E-8</v>
      </c>
      <c r="I91">
        <f t="shared" si="14"/>
        <v>4.0372125680179018E-5</v>
      </c>
      <c r="J91">
        <f t="shared" si="15"/>
        <v>4.0372125680179019E-2</v>
      </c>
    </row>
    <row r="92" spans="1:19" x14ac:dyDescent="0.45">
      <c r="A92" s="10" t="s">
        <v>120</v>
      </c>
      <c r="B92">
        <v>4.3799999999999999E-2</v>
      </c>
      <c r="C92">
        <v>4.4699999999999997E-2</v>
      </c>
      <c r="D92">
        <v>4.5199999999999997E-2</v>
      </c>
      <c r="E92">
        <f t="shared" si="16"/>
        <v>4.4566666666666664E-2</v>
      </c>
      <c r="F92">
        <f t="shared" si="18"/>
        <v>7.1111111111106518E-4</v>
      </c>
      <c r="G92">
        <f t="shared" si="13"/>
        <v>12660</v>
      </c>
      <c r="H92">
        <f t="shared" si="17"/>
        <v>5.6169913989815572E-8</v>
      </c>
      <c r="I92">
        <f t="shared" si="14"/>
        <v>5.6169913989815571E-5</v>
      </c>
      <c r="J92">
        <f t="shared" si="15"/>
        <v>5.6169913989815572E-2</v>
      </c>
    </row>
    <row r="93" spans="1:19" x14ac:dyDescent="0.45">
      <c r="A93" s="10" t="s">
        <v>121</v>
      </c>
      <c r="B93">
        <v>4.3900000000000002E-2</v>
      </c>
      <c r="C93">
        <v>4.3799999999999999E-2</v>
      </c>
      <c r="D93">
        <v>4.58E-2</v>
      </c>
      <c r="E93">
        <f t="shared" si="16"/>
        <v>4.4500000000000005E-2</v>
      </c>
      <c r="F93">
        <f t="shared" si="18"/>
        <v>6.4444444444440585E-4</v>
      </c>
      <c r="G93">
        <f t="shared" si="13"/>
        <v>12660</v>
      </c>
      <c r="H93">
        <f t="shared" si="17"/>
        <v>5.0903984553270604E-8</v>
      </c>
      <c r="I93">
        <f t="shared" si="14"/>
        <v>5.09039845532706E-5</v>
      </c>
      <c r="J93">
        <f t="shared" si="15"/>
        <v>5.0903984553270602E-2</v>
      </c>
    </row>
    <row r="94" spans="1:19" x14ac:dyDescent="0.45">
      <c r="A94" s="10" t="s">
        <v>122</v>
      </c>
      <c r="B94">
        <v>4.5900000000000003E-2</v>
      </c>
      <c r="C94">
        <v>4.58E-2</v>
      </c>
      <c r="D94">
        <v>4.3999999999999997E-2</v>
      </c>
      <c r="E94">
        <f t="shared" si="16"/>
        <v>4.5233333333333327E-2</v>
      </c>
      <c r="F94">
        <f t="shared" si="18"/>
        <v>1.3777777777777278E-3</v>
      </c>
      <c r="G94">
        <f t="shared" si="13"/>
        <v>12660</v>
      </c>
      <c r="H94">
        <f t="shared" si="17"/>
        <v>1.0882920835527075E-7</v>
      </c>
      <c r="I94">
        <f t="shared" si="14"/>
        <v>1.0882920835527075E-4</v>
      </c>
      <c r="J94">
        <f t="shared" si="15"/>
        <v>0.10882920835527075</v>
      </c>
    </row>
    <row r="95" spans="1:19" x14ac:dyDescent="0.45">
      <c r="A95" s="10" t="s">
        <v>87</v>
      </c>
      <c r="B95">
        <v>4.5600000000000002E-2</v>
      </c>
      <c r="C95">
        <v>4.3900000000000002E-2</v>
      </c>
      <c r="D95">
        <v>4.4699999999999997E-2</v>
      </c>
      <c r="E95">
        <f t="shared" si="16"/>
        <v>4.4733333333333326E-2</v>
      </c>
      <c r="F95">
        <f t="shared" si="18"/>
        <v>8.7777777777772736E-4</v>
      </c>
      <c r="G95">
        <f t="shared" si="13"/>
        <v>12660</v>
      </c>
      <c r="H95">
        <f t="shared" si="17"/>
        <v>6.9334737581179101E-8</v>
      </c>
      <c r="I95">
        <f t="shared" si="14"/>
        <v>6.93347375811791E-5</v>
      </c>
      <c r="J95">
        <f t="shared" si="15"/>
        <v>6.9334737581179098E-2</v>
      </c>
    </row>
    <row r="96" spans="1:19" x14ac:dyDescent="0.45">
      <c r="A96" s="10" t="s">
        <v>88</v>
      </c>
      <c r="B96">
        <v>4.48E-2</v>
      </c>
      <c r="C96">
        <v>4.4400000000000002E-2</v>
      </c>
      <c r="D96">
        <v>4.5199999999999997E-2</v>
      </c>
      <c r="E96">
        <f t="shared" si="16"/>
        <v>4.48E-2</v>
      </c>
      <c r="F96">
        <f t="shared" si="18"/>
        <v>9.4444444444440057E-4</v>
      </c>
      <c r="G96">
        <f t="shared" si="13"/>
        <v>12660</v>
      </c>
      <c r="H96">
        <f t="shared" si="17"/>
        <v>7.4600667017725161E-8</v>
      </c>
      <c r="I96">
        <f t="shared" si="14"/>
        <v>7.4600667017725162E-5</v>
      </c>
      <c r="J96">
        <f t="shared" si="15"/>
        <v>7.4600667017725164E-2</v>
      </c>
    </row>
    <row r="97" spans="1:10" x14ac:dyDescent="0.45">
      <c r="A97" s="10" t="s">
        <v>89</v>
      </c>
      <c r="B97">
        <v>4.58E-2</v>
      </c>
      <c r="C97">
        <v>4.6100000000000002E-2</v>
      </c>
      <c r="D97">
        <v>4.6800000000000001E-2</v>
      </c>
      <c r="E97">
        <f t="shared" si="16"/>
        <v>4.6233333333333342E-2</v>
      </c>
      <c r="F97">
        <f t="shared" si="18"/>
        <v>2.3777777777777426E-3</v>
      </c>
      <c r="G97">
        <f t="shared" si="13"/>
        <v>12660</v>
      </c>
      <c r="H97">
        <f t="shared" si="17"/>
        <v>1.8781814990345517E-7</v>
      </c>
      <c r="I97">
        <f t="shared" si="14"/>
        <v>1.8781814990345515E-4</v>
      </c>
      <c r="J97">
        <f t="shared" si="15"/>
        <v>0.18781814990345516</v>
      </c>
    </row>
    <row r="98" spans="1:10" x14ac:dyDescent="0.45">
      <c r="A98" s="10" t="s">
        <v>123</v>
      </c>
      <c r="B98">
        <v>4.3900000000000002E-2</v>
      </c>
      <c r="C98">
        <v>4.41E-2</v>
      </c>
      <c r="D98">
        <v>4.3799999999999999E-2</v>
      </c>
      <c r="E98">
        <f t="shared" si="16"/>
        <v>4.3933333333333331E-2</v>
      </c>
      <c r="F98">
        <f t="shared" si="18"/>
        <v>7.7777777777732204E-5</v>
      </c>
      <c r="G98">
        <f t="shared" si="13"/>
        <v>12660</v>
      </c>
      <c r="H98">
        <f t="shared" si="17"/>
        <v>6.1435843426328757E-9</v>
      </c>
      <c r="I98">
        <f t="shared" si="14"/>
        <v>6.1435843426328752E-6</v>
      </c>
      <c r="J98">
        <f t="shared" si="15"/>
        <v>6.1435843426328749E-3</v>
      </c>
    </row>
    <row r="99" spans="1:10" x14ac:dyDescent="0.45">
      <c r="A99" s="10" t="s">
        <v>124</v>
      </c>
      <c r="B99">
        <v>4.41E-2</v>
      </c>
      <c r="C99">
        <v>4.4699999999999997E-2</v>
      </c>
      <c r="D99">
        <v>4.41E-2</v>
      </c>
      <c r="E99">
        <f t="shared" si="16"/>
        <v>4.4299999999999999E-2</v>
      </c>
      <c r="F99">
        <f t="shared" si="18"/>
        <v>4.4444444444440012E-4</v>
      </c>
      <c r="G99">
        <f t="shared" si="13"/>
        <v>12660</v>
      </c>
      <c r="H99">
        <f t="shared" si="17"/>
        <v>3.5106196243633503E-8</v>
      </c>
      <c r="I99">
        <f t="shared" si="14"/>
        <v>3.5106196243633505E-5</v>
      </c>
      <c r="J99">
        <f t="shared" si="15"/>
        <v>3.5106196243633501E-2</v>
      </c>
    </row>
    <row r="100" spans="1:10" x14ac:dyDescent="0.45">
      <c r="A100" s="10" t="s">
        <v>125</v>
      </c>
      <c r="B100">
        <v>4.7300000000000002E-2</v>
      </c>
      <c r="C100">
        <v>4.7E-2</v>
      </c>
      <c r="D100">
        <v>4.6600000000000003E-2</v>
      </c>
      <c r="E100">
        <f t="shared" si="16"/>
        <v>4.6966666666666664E-2</v>
      </c>
      <c r="F100">
        <f t="shared" si="18"/>
        <v>3.1111111111110645E-3</v>
      </c>
      <c r="G100">
        <f t="shared" si="13"/>
        <v>12660</v>
      </c>
      <c r="H100">
        <f t="shared" si="17"/>
        <v>2.4574337370545534E-7</v>
      </c>
      <c r="I100">
        <f t="shared" si="14"/>
        <v>2.4574337370545534E-4</v>
      </c>
      <c r="J100">
        <f t="shared" si="15"/>
        <v>0.24574337370545535</v>
      </c>
    </row>
    <row r="101" spans="1:10" x14ac:dyDescent="0.45">
      <c r="A101" s="10" t="s">
        <v>126</v>
      </c>
      <c r="B101">
        <v>4.4299999999999999E-2</v>
      </c>
      <c r="C101">
        <v>4.4299999999999999E-2</v>
      </c>
      <c r="D101">
        <v>4.4900000000000002E-2</v>
      </c>
      <c r="E101">
        <f t="shared" si="16"/>
        <v>4.4500000000000005E-2</v>
      </c>
      <c r="F101">
        <f t="shared" si="18"/>
        <v>6.4444444444440585E-4</v>
      </c>
      <c r="G101">
        <f t="shared" si="13"/>
        <v>12660</v>
      </c>
      <c r="H101">
        <f t="shared" si="17"/>
        <v>5.0903984553270604E-8</v>
      </c>
      <c r="I101">
        <f t="shared" si="14"/>
        <v>5.09039845532706E-5</v>
      </c>
      <c r="J101">
        <f t="shared" si="15"/>
        <v>5.0903984553270602E-2</v>
      </c>
    </row>
    <row r="102" spans="1:10" x14ac:dyDescent="0.45">
      <c r="A102" s="10" t="s">
        <v>127</v>
      </c>
      <c r="B102">
        <v>4.65E-2</v>
      </c>
      <c r="C102">
        <v>4.4600000000000001E-2</v>
      </c>
      <c r="D102">
        <v>4.4400000000000002E-2</v>
      </c>
      <c r="E102">
        <f t="shared" si="16"/>
        <v>4.5166666666666667E-2</v>
      </c>
      <c r="F102">
        <f t="shared" si="18"/>
        <v>1.3111111111110685E-3</v>
      </c>
      <c r="G102">
        <f t="shared" si="13"/>
        <v>12660</v>
      </c>
      <c r="H102">
        <f t="shared" si="17"/>
        <v>1.0356327891872579E-7</v>
      </c>
      <c r="I102">
        <f t="shared" si="14"/>
        <v>1.0356327891872579E-4</v>
      </c>
      <c r="J102">
        <f t="shared" si="15"/>
        <v>0.10356327891872578</v>
      </c>
    </row>
    <row r="103" spans="1:10" x14ac:dyDescent="0.45">
      <c r="A103" s="10" t="s">
        <v>128</v>
      </c>
      <c r="B103">
        <v>4.4699999999999997E-2</v>
      </c>
      <c r="C103">
        <v>4.6199999999999998E-2</v>
      </c>
      <c r="D103">
        <v>4.4499999999999998E-2</v>
      </c>
      <c r="E103">
        <f t="shared" si="16"/>
        <v>4.5133333333333331E-2</v>
      </c>
      <c r="F103">
        <f t="shared" si="18"/>
        <v>1.2777777777777319E-3</v>
      </c>
      <c r="G103">
        <f t="shared" si="13"/>
        <v>12660</v>
      </c>
      <c r="H103">
        <f t="shared" si="17"/>
        <v>1.0093031420045276E-7</v>
      </c>
      <c r="I103">
        <f t="shared" si="14"/>
        <v>1.0093031420045276E-4</v>
      </c>
      <c r="J103">
        <f t="shared" si="15"/>
        <v>0.10093031420045276</v>
      </c>
    </row>
    <row r="104" spans="1:10" x14ac:dyDescent="0.45">
      <c r="A104" s="10" t="s">
        <v>129</v>
      </c>
      <c r="B104">
        <v>4.53E-2</v>
      </c>
      <c r="C104">
        <v>4.3200000000000002E-2</v>
      </c>
      <c r="D104">
        <v>4.3200000000000002E-2</v>
      </c>
      <c r="E104">
        <f t="shared" si="16"/>
        <v>4.3899999999999995E-2</v>
      </c>
      <c r="F104">
        <f t="shared" si="18"/>
        <v>4.4444444444395603E-5</v>
      </c>
      <c r="G104">
        <f t="shared" si="13"/>
        <v>12660</v>
      </c>
      <c r="H104">
        <f t="shared" si="17"/>
        <v>3.5106196243598423E-9</v>
      </c>
      <c r="I104">
        <f t="shared" si="14"/>
        <v>3.5106196243598424E-6</v>
      </c>
      <c r="J104">
        <f t="shared" si="15"/>
        <v>3.5106196243598425E-3</v>
      </c>
    </row>
    <row r="105" spans="1:10" x14ac:dyDescent="0.45">
      <c r="A105" s="10" t="s">
        <v>130</v>
      </c>
      <c r="B105">
        <v>4.6699999999999998E-2</v>
      </c>
      <c r="C105">
        <v>4.2999999999999997E-2</v>
      </c>
      <c r="D105">
        <v>4.3299999999999998E-2</v>
      </c>
      <c r="E105">
        <f t="shared" si="16"/>
        <v>4.4333333333333336E-2</v>
      </c>
      <c r="F105">
        <f t="shared" si="18"/>
        <v>4.7777777777773672E-4</v>
      </c>
      <c r="G105">
        <f t="shared" si="13"/>
        <v>12660</v>
      </c>
      <c r="H105">
        <f t="shared" si="17"/>
        <v>3.7739160961906533E-8</v>
      </c>
      <c r="I105">
        <f t="shared" si="14"/>
        <v>3.7739160961906529E-5</v>
      </c>
      <c r="J105">
        <f t="shared" si="15"/>
        <v>3.7739160961906527E-2</v>
      </c>
    </row>
    <row r="106" spans="1:10" x14ac:dyDescent="0.45">
      <c r="A106" s="10" t="s">
        <v>131</v>
      </c>
      <c r="B106">
        <v>4.3900000000000002E-2</v>
      </c>
      <c r="C106">
        <v>4.3799999999999999E-2</v>
      </c>
      <c r="D106">
        <v>4.3200000000000002E-2</v>
      </c>
      <c r="E106">
        <f t="shared" si="16"/>
        <v>4.3633333333333336E-2</v>
      </c>
      <c r="F106">
        <v>0</v>
      </c>
      <c r="G106">
        <f t="shared" si="13"/>
        <v>12660</v>
      </c>
      <c r="H106">
        <f t="shared" si="17"/>
        <v>0</v>
      </c>
      <c r="I106">
        <f t="shared" si="14"/>
        <v>0</v>
      </c>
      <c r="J106">
        <f t="shared" si="15"/>
        <v>0</v>
      </c>
    </row>
    <row r="107" spans="1:10" x14ac:dyDescent="0.45">
      <c r="A107" s="11" t="s">
        <v>133</v>
      </c>
      <c r="B107">
        <v>4.4699999999999997E-2</v>
      </c>
      <c r="C107">
        <v>4.53E-2</v>
      </c>
      <c r="D107">
        <v>4.6100000000000002E-2</v>
      </c>
      <c r="E107">
        <f t="shared" si="16"/>
        <v>4.5366666666666666E-2</v>
      </c>
      <c r="F107">
        <f>E107-0.0425777777777778</f>
        <v>2.7888888888888685E-3</v>
      </c>
      <c r="G107">
        <f t="shared" si="13"/>
        <v>12660</v>
      </c>
      <c r="H107">
        <f t="shared" si="17"/>
        <v>2.2029138142882057E-7</v>
      </c>
      <c r="I107">
        <f t="shared" si="14"/>
        <v>2.2029138142882056E-4</v>
      </c>
      <c r="J107">
        <f t="shared" si="15"/>
        <v>0.22029138142882057</v>
      </c>
    </row>
    <row r="108" spans="1:10" x14ac:dyDescent="0.45">
      <c r="A108" s="11" t="s">
        <v>134</v>
      </c>
      <c r="B108">
        <v>4.6300000000000001E-2</v>
      </c>
      <c r="C108">
        <v>4.5900000000000003E-2</v>
      </c>
      <c r="D108">
        <v>4.5900000000000003E-2</v>
      </c>
      <c r="E108">
        <f t="shared" si="16"/>
        <v>4.6033333333333336E-2</v>
      </c>
      <c r="F108">
        <f t="shared" ref="F108:F127" si="19">E108-0.0425777777777778</f>
        <v>3.4555555555555381E-3</v>
      </c>
      <c r="G108">
        <f t="shared" si="13"/>
        <v>12660</v>
      </c>
      <c r="H108">
        <f t="shared" si="17"/>
        <v>2.7295067579427633E-7</v>
      </c>
      <c r="I108">
        <f t="shared" si="14"/>
        <v>2.7295067579427633E-4</v>
      </c>
      <c r="J108">
        <f t="shared" si="15"/>
        <v>0.27295067579427634</v>
      </c>
    </row>
    <row r="109" spans="1:10" x14ac:dyDescent="0.45">
      <c r="A109" s="11" t="s">
        <v>135</v>
      </c>
      <c r="B109">
        <v>4.82E-2</v>
      </c>
      <c r="C109">
        <v>4.7899999999999998E-2</v>
      </c>
      <c r="D109">
        <v>4.7899999999999998E-2</v>
      </c>
      <c r="E109">
        <f t="shared" si="16"/>
        <v>4.7999999999999994E-2</v>
      </c>
      <c r="F109">
        <f t="shared" si="19"/>
        <v>5.4222222222221964E-3</v>
      </c>
      <c r="G109">
        <f t="shared" si="13"/>
        <v>12660</v>
      </c>
      <c r="H109">
        <f t="shared" si="17"/>
        <v>4.282955941723694E-7</v>
      </c>
      <c r="I109">
        <f t="shared" si="14"/>
        <v>4.2829559417236938E-4</v>
      </c>
      <c r="J109">
        <f t="shared" si="15"/>
        <v>0.4282955941723694</v>
      </c>
    </row>
    <row r="110" spans="1:10" x14ac:dyDescent="0.45">
      <c r="A110" s="11" t="s">
        <v>136</v>
      </c>
      <c r="B110">
        <v>4.58E-2</v>
      </c>
      <c r="C110">
        <v>4.3299999999999998E-2</v>
      </c>
      <c r="D110">
        <v>4.2900000000000001E-2</v>
      </c>
      <c r="E110">
        <f t="shared" si="16"/>
        <v>4.4000000000000004E-2</v>
      </c>
      <c r="F110">
        <f t="shared" si="19"/>
        <v>1.4222222222222067E-3</v>
      </c>
      <c r="G110">
        <f t="shared" si="13"/>
        <v>12660</v>
      </c>
      <c r="H110">
        <f t="shared" si="17"/>
        <v>1.1233982797963718E-7</v>
      </c>
      <c r="I110">
        <f t="shared" si="14"/>
        <v>1.1233982797963717E-4</v>
      </c>
      <c r="J110">
        <f t="shared" si="15"/>
        <v>0.11233982797963718</v>
      </c>
    </row>
    <row r="111" spans="1:10" x14ac:dyDescent="0.45">
      <c r="A111" s="11" t="s">
        <v>137</v>
      </c>
      <c r="B111">
        <v>4.3499999999999997E-2</v>
      </c>
      <c r="C111">
        <v>4.2999999999999997E-2</v>
      </c>
      <c r="D111">
        <v>4.3499999999999997E-2</v>
      </c>
      <c r="E111">
        <f t="shared" si="16"/>
        <v>4.3333333333333335E-2</v>
      </c>
      <c r="F111">
        <f t="shared" si="19"/>
        <v>7.5555555555553711E-4</v>
      </c>
      <c r="G111">
        <f t="shared" si="13"/>
        <v>12660</v>
      </c>
      <c r="H111">
        <f t="shared" si="17"/>
        <v>5.968053361418145E-8</v>
      </c>
      <c r="I111">
        <f t="shared" si="14"/>
        <v>5.9680533614181451E-5</v>
      </c>
      <c r="J111">
        <f t="shared" si="15"/>
        <v>5.968053361418145E-2</v>
      </c>
    </row>
    <row r="112" spans="1:10" x14ac:dyDescent="0.45">
      <c r="A112" s="11" t="s">
        <v>138</v>
      </c>
      <c r="B112">
        <v>4.3400000000000001E-2</v>
      </c>
      <c r="C112">
        <v>4.41E-2</v>
      </c>
      <c r="D112">
        <v>4.3700000000000003E-2</v>
      </c>
      <c r="E112">
        <f t="shared" si="16"/>
        <v>4.3733333333333325E-2</v>
      </c>
      <c r="F112">
        <f t="shared" si="19"/>
        <v>1.1555555555555277E-3</v>
      </c>
      <c r="G112">
        <f t="shared" si="13"/>
        <v>12660</v>
      </c>
      <c r="H112">
        <f t="shared" si="17"/>
        <v>9.1276110233454011E-8</v>
      </c>
      <c r="I112">
        <f t="shared" si="14"/>
        <v>9.1276110233454009E-5</v>
      </c>
      <c r="J112">
        <f t="shared" si="15"/>
        <v>9.1276110233454014E-2</v>
      </c>
    </row>
    <row r="113" spans="1:10" x14ac:dyDescent="0.45">
      <c r="A113" s="11" t="s">
        <v>139</v>
      </c>
      <c r="B113">
        <v>4.4900000000000002E-2</v>
      </c>
      <c r="C113">
        <v>4.5900000000000003E-2</v>
      </c>
      <c r="D113">
        <v>4.65E-2</v>
      </c>
      <c r="E113">
        <f t="shared" si="16"/>
        <v>4.5766666666666671E-2</v>
      </c>
      <c r="F113">
        <f t="shared" si="19"/>
        <v>3.1888888888888731E-3</v>
      </c>
      <c r="G113">
        <f t="shared" si="13"/>
        <v>12660</v>
      </c>
      <c r="H113">
        <f t="shared" si="17"/>
        <v>2.5188695804809426E-7</v>
      </c>
      <c r="I113">
        <f t="shared" si="14"/>
        <v>2.5188695804809425E-4</v>
      </c>
      <c r="J113">
        <f t="shared" si="15"/>
        <v>0.25188695804809424</v>
      </c>
    </row>
    <row r="114" spans="1:10" x14ac:dyDescent="0.45">
      <c r="A114" s="11" t="s">
        <v>140</v>
      </c>
      <c r="B114">
        <v>4.48E-2</v>
      </c>
      <c r="C114">
        <v>4.3999999999999997E-2</v>
      </c>
      <c r="D114">
        <v>4.65E-2</v>
      </c>
      <c r="E114">
        <f t="shared" si="16"/>
        <v>4.5099999999999994E-2</v>
      </c>
      <c r="F114">
        <f t="shared" si="19"/>
        <v>2.5222222222221966E-3</v>
      </c>
      <c r="G114">
        <f t="shared" si="13"/>
        <v>12660</v>
      </c>
      <c r="H114">
        <f t="shared" si="17"/>
        <v>1.9922766368263797E-7</v>
      </c>
      <c r="I114">
        <f t="shared" si="14"/>
        <v>1.9922766368263796E-4</v>
      </c>
      <c r="J114">
        <f t="shared" si="15"/>
        <v>0.19922766368263797</v>
      </c>
    </row>
    <row r="115" spans="1:10" x14ac:dyDescent="0.45">
      <c r="A115" s="11" t="s">
        <v>141</v>
      </c>
      <c r="B115">
        <v>4.5199999999999997E-2</v>
      </c>
      <c r="C115">
        <v>4.5900000000000003E-2</v>
      </c>
      <c r="D115">
        <v>4.5499999999999999E-2</v>
      </c>
      <c r="E115">
        <f t="shared" si="16"/>
        <v>4.5533333333333335E-2</v>
      </c>
      <c r="F115">
        <f t="shared" si="19"/>
        <v>2.9555555555555377E-3</v>
      </c>
      <c r="G115">
        <f t="shared" si="13"/>
        <v>12660</v>
      </c>
      <c r="H115">
        <f t="shared" si="17"/>
        <v>2.3345620502018466E-7</v>
      </c>
      <c r="I115">
        <f t="shared" si="14"/>
        <v>2.3345620502018466E-4</v>
      </c>
      <c r="J115">
        <f t="shared" si="15"/>
        <v>0.23345620502018466</v>
      </c>
    </row>
    <row r="116" spans="1:10" x14ac:dyDescent="0.45">
      <c r="A116" s="11" t="s">
        <v>142</v>
      </c>
      <c r="B116">
        <v>4.6300000000000001E-2</v>
      </c>
      <c r="C116">
        <v>4.4499999999999998E-2</v>
      </c>
      <c r="D116">
        <v>4.5499999999999999E-2</v>
      </c>
      <c r="E116">
        <f t="shared" si="16"/>
        <v>4.5433333333333326E-2</v>
      </c>
      <c r="F116">
        <f t="shared" si="19"/>
        <v>2.8555555555555279E-3</v>
      </c>
      <c r="G116">
        <f t="shared" si="13"/>
        <v>12660</v>
      </c>
      <c r="H116">
        <f t="shared" si="17"/>
        <v>2.2555731086536554E-7</v>
      </c>
      <c r="I116">
        <f t="shared" si="14"/>
        <v>2.2555731086536555E-4</v>
      </c>
      <c r="J116">
        <f t="shared" si="15"/>
        <v>0.22555731086536554</v>
      </c>
    </row>
    <row r="117" spans="1:10" x14ac:dyDescent="0.45">
      <c r="A117" s="11" t="s">
        <v>143</v>
      </c>
      <c r="B117">
        <v>4.5499999999999999E-2</v>
      </c>
      <c r="C117">
        <v>4.4900000000000002E-2</v>
      </c>
      <c r="D117">
        <v>4.5699999999999998E-2</v>
      </c>
      <c r="E117">
        <f t="shared" si="16"/>
        <v>4.5366666666666666E-2</v>
      </c>
      <c r="F117">
        <f t="shared" si="19"/>
        <v>2.7888888888888685E-3</v>
      </c>
      <c r="G117">
        <f t="shared" si="13"/>
        <v>12660</v>
      </c>
      <c r="H117">
        <f t="shared" si="17"/>
        <v>2.2029138142882057E-7</v>
      </c>
      <c r="I117">
        <f t="shared" si="14"/>
        <v>2.2029138142882056E-4</v>
      </c>
      <c r="J117">
        <f t="shared" si="15"/>
        <v>0.22029138142882057</v>
      </c>
    </row>
    <row r="118" spans="1:10" x14ac:dyDescent="0.45">
      <c r="A118" s="11" t="s">
        <v>144</v>
      </c>
      <c r="B118">
        <v>4.5100000000000001E-2</v>
      </c>
      <c r="C118">
        <v>4.48E-2</v>
      </c>
      <c r="D118">
        <v>4.5400000000000003E-2</v>
      </c>
      <c r="E118">
        <f t="shared" si="16"/>
        <v>4.5100000000000001E-2</v>
      </c>
      <c r="F118">
        <f t="shared" si="19"/>
        <v>2.5222222222222035E-3</v>
      </c>
      <c r="G118">
        <f t="shared" si="13"/>
        <v>12660</v>
      </c>
      <c r="H118">
        <f t="shared" si="17"/>
        <v>1.992276636826385E-7</v>
      </c>
      <c r="I118">
        <f t="shared" si="14"/>
        <v>1.992276636826385E-4</v>
      </c>
      <c r="J118">
        <f t="shared" si="15"/>
        <v>0.1992276636826385</v>
      </c>
    </row>
    <row r="119" spans="1:10" x14ac:dyDescent="0.45">
      <c r="A119" s="11" t="s">
        <v>145</v>
      </c>
      <c r="B119">
        <v>4.4499999999999998E-2</v>
      </c>
      <c r="C119">
        <v>4.4400000000000002E-2</v>
      </c>
      <c r="D119">
        <v>4.4499999999999998E-2</v>
      </c>
      <c r="E119">
        <f t="shared" si="16"/>
        <v>4.4466666666666675E-2</v>
      </c>
      <c r="F119">
        <f t="shared" si="19"/>
        <v>1.8888888888888775E-3</v>
      </c>
      <c r="G119">
        <f t="shared" si="13"/>
        <v>12660</v>
      </c>
      <c r="H119">
        <f t="shared" si="17"/>
        <v>1.4920133403545636E-7</v>
      </c>
      <c r="I119">
        <f t="shared" si="14"/>
        <v>1.4920133403545634E-4</v>
      </c>
      <c r="J119">
        <f t="shared" si="15"/>
        <v>0.14920133403545635</v>
      </c>
    </row>
    <row r="120" spans="1:10" x14ac:dyDescent="0.45">
      <c r="A120" s="11" t="s">
        <v>146</v>
      </c>
      <c r="B120">
        <v>4.4200000000000003E-2</v>
      </c>
      <c r="C120">
        <v>4.53E-2</v>
      </c>
      <c r="D120">
        <v>4.4400000000000002E-2</v>
      </c>
      <c r="E120">
        <f t="shared" si="16"/>
        <v>4.463333333333333E-2</v>
      </c>
      <c r="F120">
        <f t="shared" si="19"/>
        <v>2.0555555555555327E-3</v>
      </c>
      <c r="G120">
        <f t="shared" si="13"/>
        <v>12660</v>
      </c>
      <c r="H120">
        <f t="shared" si="17"/>
        <v>1.6236615762681934E-7</v>
      </c>
      <c r="I120">
        <f t="shared" si="14"/>
        <v>1.6236615762681934E-4</v>
      </c>
      <c r="J120">
        <f t="shared" si="15"/>
        <v>0.16236615762681933</v>
      </c>
    </row>
    <row r="121" spans="1:10" x14ac:dyDescent="0.45">
      <c r="A121" s="11" t="s">
        <v>147</v>
      </c>
      <c r="B121">
        <v>4.48E-2</v>
      </c>
      <c r="C121">
        <v>4.4999999999999998E-2</v>
      </c>
      <c r="D121">
        <v>4.4499999999999998E-2</v>
      </c>
      <c r="E121">
        <f t="shared" si="16"/>
        <v>4.4766666666666656E-2</v>
      </c>
      <c r="F121">
        <f t="shared" si="19"/>
        <v>2.1888888888888583E-3</v>
      </c>
      <c r="G121">
        <f t="shared" si="13"/>
        <v>12660</v>
      </c>
      <c r="H121">
        <f t="shared" si="17"/>
        <v>1.7289801649990982E-7</v>
      </c>
      <c r="I121">
        <f t="shared" si="14"/>
        <v>1.7289801649990981E-4</v>
      </c>
      <c r="J121">
        <f t="shared" si="15"/>
        <v>0.1728980164999098</v>
      </c>
    </row>
    <row r="122" spans="1:10" x14ac:dyDescent="0.45">
      <c r="A122" s="11" t="s">
        <v>13</v>
      </c>
      <c r="B122">
        <v>0.44479999999999997</v>
      </c>
      <c r="C122">
        <v>0.43669999999999998</v>
      </c>
      <c r="D122">
        <v>0.46060000000000001</v>
      </c>
      <c r="E122">
        <f t="shared" si="16"/>
        <v>0.44736666666666663</v>
      </c>
      <c r="F122">
        <f t="shared" si="19"/>
        <v>0.40478888888888886</v>
      </c>
      <c r="G122">
        <f t="shared" si="13"/>
        <v>12660</v>
      </c>
      <c r="H122">
        <f t="shared" si="17"/>
        <v>3.1973845883798485E-5</v>
      </c>
      <c r="I122">
        <f t="shared" si="14"/>
        <v>3.1973845883798487E-2</v>
      </c>
      <c r="J122">
        <f t="shared" si="15"/>
        <v>31.973845883798486</v>
      </c>
    </row>
    <row r="123" spans="1:10" x14ac:dyDescent="0.45">
      <c r="A123" s="11" t="s">
        <v>14</v>
      </c>
      <c r="B123">
        <v>0.44109999999999999</v>
      </c>
      <c r="C123">
        <v>0.43909999999999999</v>
      </c>
      <c r="D123">
        <v>0.44529999999999997</v>
      </c>
      <c r="E123">
        <f t="shared" si="16"/>
        <v>0.4418333333333333</v>
      </c>
      <c r="F123">
        <f t="shared" si="19"/>
        <v>0.39925555555555547</v>
      </c>
      <c r="G123">
        <f t="shared" si="13"/>
        <v>12660</v>
      </c>
      <c r="H123">
        <f t="shared" si="17"/>
        <v>3.1536773740565201E-5</v>
      </c>
      <c r="I123">
        <f t="shared" si="14"/>
        <v>3.1536773740565203E-2</v>
      </c>
      <c r="J123">
        <f t="shared" si="15"/>
        <v>31.536773740565202</v>
      </c>
    </row>
    <row r="124" spans="1:10" x14ac:dyDescent="0.45">
      <c r="A124" s="11" t="s">
        <v>15</v>
      </c>
      <c r="B124">
        <v>0.41870000000000002</v>
      </c>
      <c r="C124">
        <v>0.41020000000000001</v>
      </c>
      <c r="D124">
        <v>0.41549999999999998</v>
      </c>
      <c r="E124">
        <f t="shared" si="16"/>
        <v>0.4148</v>
      </c>
      <c r="F124">
        <f t="shared" si="19"/>
        <v>0.37222222222222223</v>
      </c>
      <c r="G124">
        <f t="shared" si="13"/>
        <v>12660</v>
      </c>
      <c r="H124">
        <f t="shared" si="17"/>
        <v>2.9401439354045988E-5</v>
      </c>
      <c r="I124">
        <f t="shared" si="14"/>
        <v>2.9401439354045988E-2</v>
      </c>
      <c r="J124">
        <f t="shared" si="15"/>
        <v>29.401439354045987</v>
      </c>
    </row>
    <row r="125" spans="1:10" x14ac:dyDescent="0.45">
      <c r="A125" s="11" t="s">
        <v>148</v>
      </c>
      <c r="B125">
        <v>4.6100000000000002E-2</v>
      </c>
      <c r="C125">
        <v>4.3700000000000003E-2</v>
      </c>
      <c r="D125">
        <v>4.3900000000000002E-2</v>
      </c>
      <c r="E125">
        <f t="shared" si="16"/>
        <v>4.4566666666666671E-2</v>
      </c>
      <c r="F125">
        <f t="shared" si="19"/>
        <v>1.9888888888888734E-3</v>
      </c>
      <c r="G125">
        <f t="shared" si="13"/>
        <v>12660</v>
      </c>
      <c r="H125">
        <f t="shared" si="17"/>
        <v>1.5710022819027436E-7</v>
      </c>
      <c r="I125">
        <f t="shared" si="14"/>
        <v>1.5710022819027437E-4</v>
      </c>
      <c r="J125">
        <f t="shared" si="15"/>
        <v>0.15710022819027436</v>
      </c>
    </row>
    <row r="126" spans="1:10" x14ac:dyDescent="0.45">
      <c r="A126" s="11" t="s">
        <v>149</v>
      </c>
      <c r="B126">
        <v>4.5499999999999999E-2</v>
      </c>
      <c r="C126">
        <v>4.4400000000000002E-2</v>
      </c>
      <c r="D126">
        <v>4.4299999999999999E-2</v>
      </c>
      <c r="E126">
        <f t="shared" si="16"/>
        <v>4.473333333333334E-2</v>
      </c>
      <c r="F126">
        <f t="shared" si="19"/>
        <v>2.1555555555555425E-3</v>
      </c>
      <c r="G126">
        <f t="shared" si="13"/>
        <v>12660</v>
      </c>
      <c r="H126">
        <f t="shared" si="17"/>
        <v>1.7026505178163843E-7</v>
      </c>
      <c r="I126">
        <f t="shared" si="14"/>
        <v>1.7026505178163842E-4</v>
      </c>
      <c r="J126">
        <f t="shared" si="15"/>
        <v>0.17026505178163842</v>
      </c>
    </row>
    <row r="127" spans="1:10" x14ac:dyDescent="0.45">
      <c r="A127" s="11" t="s">
        <v>150</v>
      </c>
      <c r="B127">
        <v>4.4499999999999998E-2</v>
      </c>
      <c r="C127">
        <v>4.4400000000000002E-2</v>
      </c>
      <c r="D127">
        <v>4.4400000000000002E-2</v>
      </c>
      <c r="E127">
        <f t="shared" si="16"/>
        <v>4.4433333333333332E-2</v>
      </c>
      <c r="F127">
        <f t="shared" si="19"/>
        <v>1.8555555555555339E-3</v>
      </c>
      <c r="G127">
        <f t="shared" si="13"/>
        <v>12660</v>
      </c>
      <c r="H127">
        <f t="shared" si="17"/>
        <v>1.4656836931718277E-7</v>
      </c>
      <c r="I127">
        <f t="shared" si="14"/>
        <v>1.4656836931718276E-4</v>
      </c>
      <c r="J127">
        <f t="shared" si="15"/>
        <v>0.14656836931718276</v>
      </c>
    </row>
    <row r="128" spans="1:10" x14ac:dyDescent="0.45">
      <c r="A128" s="12" t="s">
        <v>152</v>
      </c>
      <c r="B128">
        <v>4.4299999999999999E-2</v>
      </c>
      <c r="C128">
        <v>4.4499999999999998E-2</v>
      </c>
      <c r="D128">
        <v>4.48E-2</v>
      </c>
      <c r="E128">
        <f t="shared" si="16"/>
        <v>4.4533333333333334E-2</v>
      </c>
      <c r="F128">
        <f>E128-0.0426</f>
        <v>1.9333333333333355E-3</v>
      </c>
      <c r="G128">
        <f t="shared" si="13"/>
        <v>12660</v>
      </c>
      <c r="H128">
        <f t="shared" si="17"/>
        <v>1.5271195365982113E-7</v>
      </c>
      <c r="I128">
        <f t="shared" si="14"/>
        <v>1.5271195365982112E-4</v>
      </c>
      <c r="J128">
        <f t="shared" si="15"/>
        <v>0.15271195365982113</v>
      </c>
    </row>
    <row r="129" spans="1:10" x14ac:dyDescent="0.45">
      <c r="A129" s="12" t="s">
        <v>153</v>
      </c>
      <c r="B129">
        <v>4.4400000000000002E-2</v>
      </c>
      <c r="C129">
        <v>4.3700000000000003E-2</v>
      </c>
      <c r="D129">
        <v>4.41E-2</v>
      </c>
      <c r="E129">
        <f t="shared" si="16"/>
        <v>4.4066666666666671E-2</v>
      </c>
      <c r="F129">
        <f t="shared" ref="F129:F148" si="20">E129-0.0426</f>
        <v>1.4666666666666717E-3</v>
      </c>
      <c r="G129">
        <f t="shared" si="13"/>
        <v>12660</v>
      </c>
      <c r="H129">
        <f t="shared" si="17"/>
        <v>1.1585044760400251E-7</v>
      </c>
      <c r="I129">
        <f t="shared" si="14"/>
        <v>1.1585044760400251E-4</v>
      </c>
      <c r="J129">
        <f t="shared" si="15"/>
        <v>0.11585044760400251</v>
      </c>
    </row>
    <row r="130" spans="1:10" x14ac:dyDescent="0.45">
      <c r="A130" s="12" t="s">
        <v>154</v>
      </c>
      <c r="B130">
        <v>4.3900000000000002E-2</v>
      </c>
      <c r="C130">
        <v>4.3499999999999997E-2</v>
      </c>
      <c r="D130">
        <v>4.3900000000000002E-2</v>
      </c>
      <c r="E130">
        <f t="shared" si="16"/>
        <v>4.3766666666666669E-2</v>
      </c>
      <c r="F130">
        <f t="shared" si="20"/>
        <v>1.16666666666667E-3</v>
      </c>
      <c r="G130">
        <f t="shared" si="13"/>
        <v>12660</v>
      </c>
      <c r="H130">
        <f t="shared" si="17"/>
        <v>9.2153765139547395E-8</v>
      </c>
      <c r="I130">
        <f t="shared" si="14"/>
        <v>9.2153765139547393E-5</v>
      </c>
      <c r="J130">
        <f t="shared" si="15"/>
        <v>9.21537651395474E-2</v>
      </c>
    </row>
    <row r="131" spans="1:10" x14ac:dyDescent="0.45">
      <c r="A131" s="12" t="s">
        <v>155</v>
      </c>
      <c r="B131">
        <v>4.5199999999999997E-2</v>
      </c>
      <c r="C131">
        <v>4.5400000000000003E-2</v>
      </c>
      <c r="D131">
        <v>4.3700000000000003E-2</v>
      </c>
      <c r="E131">
        <f t="shared" si="16"/>
        <v>4.476666666666667E-2</v>
      </c>
      <c r="F131">
        <f t="shared" si="20"/>
        <v>2.1666666666666709E-3</v>
      </c>
      <c r="G131">
        <f t="shared" ref="G131:G148" si="21">25320*0.5</f>
        <v>12660</v>
      </c>
      <c r="H131">
        <f t="shared" si="17"/>
        <v>1.7114270668773072E-7</v>
      </c>
      <c r="I131">
        <f t="shared" ref="I131:I148" si="22">H131/0.001</f>
        <v>1.7114270668773071E-4</v>
      </c>
      <c r="J131">
        <f t="shared" ref="J131:J148" si="23">I131*1000</f>
        <v>0.17114270668773071</v>
      </c>
    </row>
    <row r="132" spans="1:10" x14ac:dyDescent="0.45">
      <c r="A132" s="12" t="s">
        <v>156</v>
      </c>
      <c r="B132">
        <v>4.6300000000000001E-2</v>
      </c>
      <c r="C132">
        <v>4.3700000000000003E-2</v>
      </c>
      <c r="D132">
        <v>4.4699999999999997E-2</v>
      </c>
      <c r="E132">
        <f t="shared" si="16"/>
        <v>4.4899999999999995E-2</v>
      </c>
      <c r="F132">
        <f t="shared" si="20"/>
        <v>2.2999999999999965E-3</v>
      </c>
      <c r="G132">
        <f t="shared" si="21"/>
        <v>12660</v>
      </c>
      <c r="H132">
        <f t="shared" si="17"/>
        <v>1.816745655608212E-7</v>
      </c>
      <c r="I132">
        <f t="shared" si="22"/>
        <v>1.8167456556082121E-4</v>
      </c>
      <c r="J132">
        <f t="shared" si="23"/>
        <v>0.18167456556082121</v>
      </c>
    </row>
    <row r="133" spans="1:10" x14ac:dyDescent="0.45">
      <c r="A133" s="12" t="s">
        <v>157</v>
      </c>
      <c r="B133">
        <v>4.4299999999999999E-2</v>
      </c>
      <c r="C133">
        <v>4.4900000000000002E-2</v>
      </c>
      <c r="D133">
        <v>4.48E-2</v>
      </c>
      <c r="E133">
        <f t="shared" si="16"/>
        <v>4.4666666666666667E-2</v>
      </c>
      <c r="F133">
        <f t="shared" si="20"/>
        <v>2.066666666666668E-3</v>
      </c>
      <c r="G133">
        <f t="shared" si="21"/>
        <v>12660</v>
      </c>
      <c r="H133">
        <f t="shared" si="17"/>
        <v>1.6324381253291216E-7</v>
      </c>
      <c r="I133">
        <f t="shared" si="22"/>
        <v>1.6324381253291216E-4</v>
      </c>
      <c r="J133">
        <f t="shared" si="23"/>
        <v>0.16324381253291217</v>
      </c>
    </row>
    <row r="134" spans="1:10" x14ac:dyDescent="0.45">
      <c r="A134" s="12" t="s">
        <v>133</v>
      </c>
      <c r="B134">
        <v>4.41E-2</v>
      </c>
      <c r="C134">
        <v>4.4999999999999998E-2</v>
      </c>
      <c r="D134">
        <v>4.53E-2</v>
      </c>
      <c r="E134">
        <f t="shared" si="16"/>
        <v>4.48E-2</v>
      </c>
      <c r="F134">
        <f t="shared" si="20"/>
        <v>2.2000000000000006E-3</v>
      </c>
      <c r="G134">
        <f t="shared" si="21"/>
        <v>12660</v>
      </c>
      <c r="H134">
        <f t="shared" si="17"/>
        <v>1.737756714060032E-7</v>
      </c>
      <c r="I134">
        <f t="shared" si="22"/>
        <v>1.737756714060032E-4</v>
      </c>
      <c r="J134">
        <f t="shared" si="23"/>
        <v>0.1737756714060032</v>
      </c>
    </row>
    <row r="135" spans="1:10" x14ac:dyDescent="0.45">
      <c r="A135" s="12" t="s">
        <v>134</v>
      </c>
      <c r="B135">
        <v>4.3700000000000003E-2</v>
      </c>
      <c r="C135">
        <v>4.3299999999999998E-2</v>
      </c>
      <c r="D135">
        <v>4.53E-2</v>
      </c>
      <c r="E135">
        <f t="shared" si="16"/>
        <v>4.41E-2</v>
      </c>
      <c r="F135">
        <f t="shared" si="20"/>
        <v>1.5000000000000013E-3</v>
      </c>
      <c r="G135">
        <f t="shared" si="21"/>
        <v>12660</v>
      </c>
      <c r="H135">
        <f t="shared" si="17"/>
        <v>1.1848341232227498E-7</v>
      </c>
      <c r="I135">
        <f t="shared" si="22"/>
        <v>1.1848341232227498E-4</v>
      </c>
      <c r="J135">
        <f t="shared" si="23"/>
        <v>0.11848341232227498</v>
      </c>
    </row>
    <row r="136" spans="1:10" x14ac:dyDescent="0.45">
      <c r="A136" s="12" t="s">
        <v>135</v>
      </c>
      <c r="B136">
        <v>4.7600000000000003E-2</v>
      </c>
      <c r="C136">
        <v>4.7800000000000002E-2</v>
      </c>
      <c r="D136">
        <v>4.7500000000000001E-2</v>
      </c>
      <c r="E136">
        <f t="shared" ref="E136:E148" si="24">AVERAGE(B136:D136)</f>
        <v>4.763333333333334E-2</v>
      </c>
      <c r="F136">
        <f t="shared" si="20"/>
        <v>5.033333333333341E-3</v>
      </c>
      <c r="G136">
        <f t="shared" si="21"/>
        <v>12660</v>
      </c>
      <c r="H136">
        <f t="shared" si="17"/>
        <v>3.9757767245918965E-7</v>
      </c>
      <c r="I136">
        <f t="shared" si="22"/>
        <v>3.9757767245918966E-4</v>
      </c>
      <c r="J136">
        <f t="shared" si="23"/>
        <v>0.39757767245918968</v>
      </c>
    </row>
    <row r="137" spans="1:10" x14ac:dyDescent="0.45">
      <c r="A137" s="12" t="s">
        <v>158</v>
      </c>
      <c r="B137">
        <v>4.5400000000000003E-2</v>
      </c>
      <c r="C137">
        <v>4.4299999999999999E-2</v>
      </c>
      <c r="D137">
        <v>4.4400000000000002E-2</v>
      </c>
      <c r="E137">
        <f t="shared" si="24"/>
        <v>4.4699999999999997E-2</v>
      </c>
      <c r="F137">
        <f t="shared" si="20"/>
        <v>2.0999999999999977E-3</v>
      </c>
      <c r="G137">
        <f t="shared" si="21"/>
        <v>12660</v>
      </c>
      <c r="H137">
        <f t="shared" ref="H137:H148" si="25">F137/G137</f>
        <v>1.6587677725118466E-7</v>
      </c>
      <c r="I137">
        <f t="shared" si="22"/>
        <v>1.6587677725118466E-4</v>
      </c>
      <c r="J137">
        <f t="shared" si="23"/>
        <v>0.16587677725118466</v>
      </c>
    </row>
    <row r="138" spans="1:10" x14ac:dyDescent="0.45">
      <c r="A138" s="12" t="s">
        <v>159</v>
      </c>
      <c r="B138">
        <v>4.4200000000000003E-2</v>
      </c>
      <c r="C138">
        <v>4.4299999999999999E-2</v>
      </c>
      <c r="D138">
        <v>4.48E-2</v>
      </c>
      <c r="E138">
        <f t="shared" si="24"/>
        <v>4.4433333333333332E-2</v>
      </c>
      <c r="F138">
        <f t="shared" si="20"/>
        <v>1.8333333333333326E-3</v>
      </c>
      <c r="G138">
        <f t="shared" si="21"/>
        <v>12660</v>
      </c>
      <c r="H138">
        <f t="shared" si="25"/>
        <v>1.4481305950500257E-7</v>
      </c>
      <c r="I138">
        <f t="shared" si="22"/>
        <v>1.4481305950500255E-4</v>
      </c>
      <c r="J138">
        <f t="shared" si="23"/>
        <v>0.14481305950500256</v>
      </c>
    </row>
    <row r="139" spans="1:10" x14ac:dyDescent="0.45">
      <c r="A139" s="12" t="s">
        <v>160</v>
      </c>
      <c r="B139">
        <v>4.4499999999999998E-2</v>
      </c>
      <c r="C139">
        <v>4.3999999999999997E-2</v>
      </c>
      <c r="D139">
        <v>4.4699999999999997E-2</v>
      </c>
      <c r="E139">
        <f t="shared" si="24"/>
        <v>4.4399999999999995E-2</v>
      </c>
      <c r="F139">
        <f t="shared" si="20"/>
        <v>1.799999999999996E-3</v>
      </c>
      <c r="G139">
        <f t="shared" si="21"/>
        <v>12660</v>
      </c>
      <c r="H139">
        <f t="shared" si="25"/>
        <v>1.4218009478672954E-7</v>
      </c>
      <c r="I139">
        <f t="shared" si="22"/>
        <v>1.4218009478672954E-4</v>
      </c>
      <c r="J139">
        <f t="shared" si="23"/>
        <v>0.14218009478672955</v>
      </c>
    </row>
    <row r="140" spans="1:10" x14ac:dyDescent="0.45">
      <c r="A140" s="12" t="s">
        <v>161</v>
      </c>
      <c r="B140">
        <v>4.3200000000000002E-2</v>
      </c>
      <c r="C140">
        <v>4.3299999999999998E-2</v>
      </c>
      <c r="D140">
        <v>4.3400000000000001E-2</v>
      </c>
      <c r="E140">
        <f t="shared" si="24"/>
        <v>4.3299999999999998E-2</v>
      </c>
      <c r="F140">
        <f t="shared" si="20"/>
        <v>6.9999999999999923E-4</v>
      </c>
      <c r="G140">
        <f t="shared" si="21"/>
        <v>12660</v>
      </c>
      <c r="H140">
        <f t="shared" si="25"/>
        <v>5.5292259083728217E-8</v>
      </c>
      <c r="I140">
        <f t="shared" si="22"/>
        <v>5.5292259083728218E-5</v>
      </c>
      <c r="J140">
        <f t="shared" si="23"/>
        <v>5.5292259083728215E-2</v>
      </c>
    </row>
    <row r="141" spans="1:10" x14ac:dyDescent="0.45">
      <c r="A141" s="12" t="s">
        <v>162</v>
      </c>
      <c r="B141">
        <v>4.2900000000000001E-2</v>
      </c>
      <c r="C141">
        <v>4.3499999999999997E-2</v>
      </c>
      <c r="D141">
        <v>4.2999999999999997E-2</v>
      </c>
      <c r="E141">
        <f t="shared" si="24"/>
        <v>4.3133333333333336E-2</v>
      </c>
      <c r="F141">
        <f t="shared" si="20"/>
        <v>5.3333333333333705E-4</v>
      </c>
      <c r="G141">
        <f t="shared" si="21"/>
        <v>12660</v>
      </c>
      <c r="H141">
        <f t="shared" si="25"/>
        <v>4.2127435492364695E-8</v>
      </c>
      <c r="I141">
        <f t="shared" si="22"/>
        <v>4.2127435492364696E-5</v>
      </c>
      <c r="J141">
        <f t="shared" si="23"/>
        <v>4.2127435492364695E-2</v>
      </c>
    </row>
    <row r="142" spans="1:10" x14ac:dyDescent="0.45">
      <c r="A142" s="12" t="s">
        <v>163</v>
      </c>
      <c r="B142">
        <v>4.3299999999999998E-2</v>
      </c>
      <c r="C142">
        <v>4.3700000000000003E-2</v>
      </c>
      <c r="D142">
        <v>4.4600000000000001E-2</v>
      </c>
      <c r="E142">
        <f t="shared" si="24"/>
        <v>4.3866666666666665E-2</v>
      </c>
      <c r="F142">
        <f t="shared" si="20"/>
        <v>1.2666666666666659E-3</v>
      </c>
      <c r="G142">
        <f t="shared" si="21"/>
        <v>12660</v>
      </c>
      <c r="H142">
        <f t="shared" si="25"/>
        <v>1.000526592943654E-7</v>
      </c>
      <c r="I142">
        <f t="shared" si="22"/>
        <v>1.000526592943654E-4</v>
      </c>
      <c r="J142">
        <f t="shared" si="23"/>
        <v>0.1000526592943654</v>
      </c>
    </row>
    <row r="143" spans="1:10" x14ac:dyDescent="0.45">
      <c r="A143" s="12" t="s">
        <v>164</v>
      </c>
      <c r="B143">
        <v>4.4400000000000002E-2</v>
      </c>
      <c r="C143">
        <v>4.4299999999999999E-2</v>
      </c>
      <c r="D143">
        <v>4.5400000000000003E-2</v>
      </c>
      <c r="E143">
        <f t="shared" si="24"/>
        <v>4.4699999999999997E-2</v>
      </c>
      <c r="F143">
        <f t="shared" si="20"/>
        <v>2.0999999999999977E-3</v>
      </c>
      <c r="G143">
        <f t="shared" si="21"/>
        <v>12660</v>
      </c>
      <c r="H143">
        <f t="shared" si="25"/>
        <v>1.6587677725118466E-7</v>
      </c>
      <c r="I143">
        <f t="shared" si="22"/>
        <v>1.6587677725118466E-4</v>
      </c>
      <c r="J143">
        <f t="shared" si="23"/>
        <v>0.16587677725118466</v>
      </c>
    </row>
    <row r="144" spans="1:10" x14ac:dyDescent="0.45">
      <c r="A144" s="12" t="s">
        <v>165</v>
      </c>
      <c r="B144">
        <v>4.4299999999999999E-2</v>
      </c>
      <c r="C144">
        <v>4.41E-2</v>
      </c>
      <c r="D144">
        <v>4.5900000000000003E-2</v>
      </c>
      <c r="E144">
        <f t="shared" si="24"/>
        <v>4.476666666666667E-2</v>
      </c>
      <c r="F144">
        <f t="shared" si="20"/>
        <v>2.1666666666666709E-3</v>
      </c>
      <c r="G144">
        <f t="shared" si="21"/>
        <v>12660</v>
      </c>
      <c r="H144">
        <f t="shared" si="25"/>
        <v>1.7114270668773072E-7</v>
      </c>
      <c r="I144">
        <f t="shared" si="22"/>
        <v>1.7114270668773071E-4</v>
      </c>
      <c r="J144">
        <f t="shared" si="23"/>
        <v>0.17114270668773071</v>
      </c>
    </row>
    <row r="145" spans="1:10" x14ac:dyDescent="0.45">
      <c r="A145" s="12" t="s">
        <v>166</v>
      </c>
      <c r="B145">
        <v>4.53E-2</v>
      </c>
      <c r="C145">
        <v>4.4499999999999998E-2</v>
      </c>
      <c r="D145">
        <v>4.4299999999999999E-2</v>
      </c>
      <c r="E145">
        <f t="shared" si="24"/>
        <v>4.4699999999999997E-2</v>
      </c>
      <c r="F145">
        <f t="shared" si="20"/>
        <v>2.0999999999999977E-3</v>
      </c>
      <c r="G145">
        <f t="shared" si="21"/>
        <v>12660</v>
      </c>
      <c r="H145">
        <f t="shared" si="25"/>
        <v>1.6587677725118466E-7</v>
      </c>
      <c r="I145">
        <f t="shared" si="22"/>
        <v>1.6587677725118466E-4</v>
      </c>
      <c r="J145">
        <f t="shared" si="23"/>
        <v>0.16587677725118466</v>
      </c>
    </row>
    <row r="146" spans="1:10" x14ac:dyDescent="0.45">
      <c r="A146" s="12" t="s">
        <v>167</v>
      </c>
      <c r="B146">
        <v>4.4400000000000002E-2</v>
      </c>
      <c r="C146">
        <v>4.2900000000000001E-2</v>
      </c>
      <c r="D146">
        <v>4.3099999999999999E-2</v>
      </c>
      <c r="E146">
        <f t="shared" si="24"/>
        <v>4.3466666666666674E-2</v>
      </c>
      <c r="F146">
        <f t="shared" si="20"/>
        <v>8.666666666666753E-4</v>
      </c>
      <c r="G146">
        <f t="shared" si="21"/>
        <v>12660</v>
      </c>
      <c r="H146">
        <f t="shared" si="25"/>
        <v>6.8457082675092838E-8</v>
      </c>
      <c r="I146">
        <f t="shared" si="22"/>
        <v>6.8457082675092831E-5</v>
      </c>
      <c r="J146">
        <f t="shared" si="23"/>
        <v>6.8457082675092831E-2</v>
      </c>
    </row>
    <row r="147" spans="1:10" x14ac:dyDescent="0.45">
      <c r="A147" s="12" t="s">
        <v>168</v>
      </c>
      <c r="B147">
        <v>4.2999999999999997E-2</v>
      </c>
      <c r="C147">
        <v>4.2799999999999998E-2</v>
      </c>
      <c r="D147">
        <v>4.2900000000000001E-2</v>
      </c>
      <c r="E147">
        <f t="shared" si="24"/>
        <v>4.2899999999999994E-2</v>
      </c>
      <c r="F147">
        <f t="shared" si="20"/>
        <v>2.9999999999999472E-4</v>
      </c>
      <c r="G147">
        <f t="shared" si="21"/>
        <v>12660</v>
      </c>
      <c r="H147">
        <f t="shared" si="25"/>
        <v>2.369668246445456E-8</v>
      </c>
      <c r="I147">
        <f t="shared" si="22"/>
        <v>2.3696682464454559E-5</v>
      </c>
      <c r="J147">
        <f t="shared" si="23"/>
        <v>2.3696682464454558E-2</v>
      </c>
    </row>
    <row r="148" spans="1:10" x14ac:dyDescent="0.45">
      <c r="A148" s="12" t="s">
        <v>169</v>
      </c>
      <c r="B148">
        <v>4.36E-2</v>
      </c>
      <c r="C148">
        <v>4.4299999999999999E-2</v>
      </c>
      <c r="D148">
        <v>4.3499999999999997E-2</v>
      </c>
      <c r="E148">
        <f t="shared" si="24"/>
        <v>4.3800000000000006E-2</v>
      </c>
      <c r="F148">
        <f t="shared" si="20"/>
        <v>1.2000000000000066E-3</v>
      </c>
      <c r="G148">
        <f t="shared" si="21"/>
        <v>12660</v>
      </c>
      <c r="H148">
        <f t="shared" si="25"/>
        <v>9.4786729857820425E-8</v>
      </c>
      <c r="I148">
        <f t="shared" si="22"/>
        <v>9.4786729857820418E-5</v>
      </c>
      <c r="J148">
        <f t="shared" si="23"/>
        <v>9.4786729857820412E-2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Silja Vahtokari</dc:creator>
  <cp:lastModifiedBy>Silja Vahtokari</cp:lastModifiedBy>
  <dcterms:created xsi:type="dcterms:W3CDTF">2015-06-05T18:17:20Z</dcterms:created>
  <dcterms:modified xsi:type="dcterms:W3CDTF">2025-07-31T15:17:58Z</dcterms:modified>
</cp:coreProperties>
</file>