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Isolates/"/>
    </mc:Choice>
  </mc:AlternateContent>
  <xr:revisionPtr revIDLastSave="11" documentId="8_{24C5B23C-280D-46A7-A1F8-56936CEDA645}" xr6:coauthVersionLast="47" xr6:coauthVersionMax="47" xr10:uidLastSave="{B3715E3D-97C9-4E67-A04D-AD3B551E1585}"/>
  <bookViews>
    <workbookView xWindow="-98" yWindow="-98" windowWidth="21795" windowHeight="12975" activeTab="1" xr2:uid="{4D4F3AE9-567F-4C46-8E63-35D30E603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F26" i="2"/>
  <c r="C26" i="2"/>
  <c r="B26" i="2"/>
  <c r="F25" i="2"/>
  <c r="C25" i="2"/>
  <c r="B25" i="2"/>
  <c r="F24" i="2"/>
  <c r="C24" i="2"/>
  <c r="B24" i="2"/>
  <c r="F23" i="2"/>
  <c r="C23" i="2"/>
  <c r="B23" i="2"/>
  <c r="F22" i="2"/>
  <c r="C22" i="2"/>
  <c r="B22" i="2"/>
  <c r="F21" i="2"/>
  <c r="C21" i="2"/>
  <c r="B21" i="2"/>
  <c r="F20" i="2"/>
  <c r="C20" i="2"/>
  <c r="B20" i="2"/>
  <c r="F19" i="2"/>
  <c r="C19" i="2"/>
  <c r="B19" i="2"/>
  <c r="F18" i="2"/>
  <c r="C18" i="2"/>
  <c r="B18" i="2"/>
  <c r="F17" i="2"/>
  <c r="C17" i="2"/>
  <c r="B17" i="2"/>
  <c r="F16" i="2"/>
  <c r="C16" i="2"/>
  <c r="B16" i="2"/>
  <c r="F15" i="2"/>
  <c r="C15" i="2"/>
  <c r="B15" i="2"/>
  <c r="F14" i="2"/>
  <c r="C14" i="2"/>
  <c r="B14" i="2"/>
  <c r="F13" i="2"/>
  <c r="C13" i="2"/>
  <c r="B13" i="2"/>
  <c r="F12" i="2"/>
  <c r="C12" i="2"/>
  <c r="B12" i="2"/>
  <c r="F11" i="2"/>
  <c r="C11" i="2"/>
  <c r="B11" i="2"/>
  <c r="F10" i="2"/>
  <c r="C10" i="2"/>
  <c r="B10" i="2"/>
  <c r="F9" i="2"/>
  <c r="C9" i="2"/>
  <c r="B9" i="2"/>
  <c r="F8" i="2"/>
  <c r="C8" i="2"/>
  <c r="B8" i="2"/>
  <c r="F7" i="2"/>
  <c r="C7" i="2"/>
  <c r="B7" i="2"/>
  <c r="F6" i="2"/>
  <c r="C6" i="2"/>
  <c r="B6" i="2"/>
  <c r="F5" i="2"/>
  <c r="F4" i="2"/>
  <c r="C5" i="2"/>
  <c r="B5" i="2"/>
  <c r="C4" i="2"/>
  <c r="B4" i="2"/>
  <c r="F3" i="2"/>
  <c r="C3" i="2"/>
  <c r="B3" i="2"/>
  <c r="C2" i="2"/>
  <c r="B2" i="2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</calcChain>
</file>

<file path=xl/sharedStrings.xml><?xml version="1.0" encoding="utf-8"?>
<sst xmlns="http://schemas.openxmlformats.org/spreadsheetml/2006/main" count="196" uniqueCount="71">
  <si>
    <t>A2</t>
  </si>
  <si>
    <t>B3</t>
  </si>
  <si>
    <t>C4</t>
  </si>
  <si>
    <t>M1152</t>
  </si>
  <si>
    <t>Time (h)</t>
  </si>
  <si>
    <t>Checklist</t>
  </si>
  <si>
    <t>Y1 62</t>
  </si>
  <si>
    <t>Y2 62</t>
  </si>
  <si>
    <t>Y3 62</t>
  </si>
  <si>
    <t>Y1 126</t>
  </si>
  <si>
    <t>Y2 126</t>
  </si>
  <si>
    <t>Y3 126</t>
  </si>
  <si>
    <t>Y1 188</t>
  </si>
  <si>
    <t>Y2 188</t>
  </si>
  <si>
    <t>Y3 188</t>
  </si>
  <si>
    <t>M1152+</t>
  </si>
  <si>
    <t>A1</t>
  </si>
  <si>
    <t>B2</t>
  </si>
  <si>
    <t>C3</t>
  </si>
  <si>
    <t>A4</t>
  </si>
  <si>
    <t>B5</t>
  </si>
  <si>
    <t>C6</t>
  </si>
  <si>
    <t>A5</t>
  </si>
  <si>
    <t>B6</t>
  </si>
  <si>
    <t>C2</t>
  </si>
  <si>
    <t>Y2  188 6</t>
  </si>
  <si>
    <t>Y2 188 8</t>
  </si>
  <si>
    <t>C1</t>
  </si>
  <si>
    <t>D4</t>
  </si>
  <si>
    <t>D6</t>
  </si>
  <si>
    <t>Y3 188 22</t>
  </si>
  <si>
    <t>A3</t>
  </si>
  <si>
    <t>B4</t>
  </si>
  <si>
    <t>C5</t>
  </si>
  <si>
    <t>Y2 126 12</t>
  </si>
  <si>
    <t>Y3 126 8</t>
  </si>
  <si>
    <t>Y3 188 21</t>
  </si>
  <si>
    <t>Y3 188 10</t>
  </si>
  <si>
    <t>Y3 62 27</t>
  </si>
  <si>
    <t>Y2 126 6</t>
  </si>
  <si>
    <t>Y2 126 24</t>
  </si>
  <si>
    <t xml:space="preserve">Y3 126 7 </t>
  </si>
  <si>
    <t>Y2 62 13</t>
  </si>
  <si>
    <t>Y2 62 25</t>
  </si>
  <si>
    <t>Y3 62 3</t>
  </si>
  <si>
    <t>Y1 62 2</t>
  </si>
  <si>
    <t>D3</t>
  </si>
  <si>
    <t>D5</t>
  </si>
  <si>
    <t>Y3 62 19</t>
  </si>
  <si>
    <t>Y2 188 5</t>
  </si>
  <si>
    <t>Y1 126 14</t>
  </si>
  <si>
    <t>Note: iffy</t>
  </si>
  <si>
    <t xml:space="preserve">Y1 62 6 </t>
  </si>
  <si>
    <t>D2</t>
  </si>
  <si>
    <t>Y3 126 2</t>
  </si>
  <si>
    <t>Y1 188 15</t>
  </si>
  <si>
    <t>A6</t>
  </si>
  <si>
    <t>B1</t>
  </si>
  <si>
    <t>Y1 188 24</t>
  </si>
  <si>
    <t>Y2 62 17</t>
  </si>
  <si>
    <t>ln OD2</t>
  </si>
  <si>
    <t>ln OD1</t>
  </si>
  <si>
    <t>t2</t>
  </si>
  <si>
    <t>t1</t>
  </si>
  <si>
    <t>µ</t>
  </si>
  <si>
    <t>Name</t>
  </si>
  <si>
    <t>Line</t>
  </si>
  <si>
    <t>Gen</t>
  </si>
  <si>
    <t>Y2</t>
  </si>
  <si>
    <t>Y3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</si>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</sst>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2" xfId="0" applyFont="1" applyBorder="1"/>
    <xf numFmtId="0" fontId="6" fillId="0" borderId="3" xfId="0" applyFont="1" applyBorder="1"/>
    <xf numFmtId="0" fontId="7" fillId="0" borderId="2" xfId="0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M1152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Sheet1!$A$28:$A$51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Sheet1!$B$28:$B$51</c:f>
              <c:numCache>
                <c:formatCode>General</c:formatCode>
                <c:ptCount val="24"/>
                <c:pt idx="0">
                  <c:v>0.12230000000000001</c:v>
                </c:pt>
                <c:pt idx="1">
                  <c:v>9.7500000000000003E-2</c:v>
                </c:pt>
                <c:pt idx="2">
                  <c:v>9.7799999999999998E-2</c:v>
                </c:pt>
                <c:pt idx="3">
                  <c:v>9.8299999999999998E-2</c:v>
                </c:pt>
                <c:pt idx="4">
                  <c:v>9.8299999999999998E-2</c:v>
                </c:pt>
                <c:pt idx="5">
                  <c:v>9.8699999999999996E-2</c:v>
                </c:pt>
                <c:pt idx="6">
                  <c:v>9.8900000000000002E-2</c:v>
                </c:pt>
                <c:pt idx="7">
                  <c:v>9.9299999999999999E-2</c:v>
                </c:pt>
                <c:pt idx="8">
                  <c:v>9.9699999999999997E-2</c:v>
                </c:pt>
                <c:pt idx="9">
                  <c:v>0.1002</c:v>
                </c:pt>
                <c:pt idx="10">
                  <c:v>0.10150000000000001</c:v>
                </c:pt>
                <c:pt idx="11">
                  <c:v>0.1032</c:v>
                </c:pt>
                <c:pt idx="12">
                  <c:v>0.1052</c:v>
                </c:pt>
                <c:pt idx="13">
                  <c:v>0.1074</c:v>
                </c:pt>
                <c:pt idx="14">
                  <c:v>0.1089</c:v>
                </c:pt>
                <c:pt idx="15">
                  <c:v>0.11</c:v>
                </c:pt>
                <c:pt idx="16">
                  <c:v>0.1108</c:v>
                </c:pt>
                <c:pt idx="17">
                  <c:v>0.1113</c:v>
                </c:pt>
                <c:pt idx="18">
                  <c:v>0.112</c:v>
                </c:pt>
                <c:pt idx="19">
                  <c:v>0.11219999999999999</c:v>
                </c:pt>
                <c:pt idx="20">
                  <c:v>0.11260000000000001</c:v>
                </c:pt>
                <c:pt idx="21">
                  <c:v>0.1132</c:v>
                </c:pt>
                <c:pt idx="22">
                  <c:v>0.1132</c:v>
                </c:pt>
                <c:pt idx="23">
                  <c:v>0.1137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1-40A0-8A57-813DFF9229BA}"/>
            </c:ext>
          </c:extLst>
        </c:ser>
        <c:ser>
          <c:idx val="1"/>
          <c:order val="1"/>
          <c:tx>
            <c:strRef>
              <c:f>Sheet1!$C$27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Sheet1!$A$28:$A$51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Sheet1!$C$28:$C$51</c:f>
              <c:numCache>
                <c:formatCode>General</c:formatCode>
                <c:ptCount val="24"/>
                <c:pt idx="0">
                  <c:v>0.12570000000000001</c:v>
                </c:pt>
                <c:pt idx="1">
                  <c:v>0.15279999999999999</c:v>
                </c:pt>
                <c:pt idx="2">
                  <c:v>9.7100000000000006E-2</c:v>
                </c:pt>
                <c:pt idx="3">
                  <c:v>9.74E-2</c:v>
                </c:pt>
                <c:pt idx="4">
                  <c:v>9.7699999999999995E-2</c:v>
                </c:pt>
                <c:pt idx="5">
                  <c:v>9.8000000000000004E-2</c:v>
                </c:pt>
                <c:pt idx="6">
                  <c:v>9.8400000000000001E-2</c:v>
                </c:pt>
                <c:pt idx="7">
                  <c:v>9.8699999999999996E-2</c:v>
                </c:pt>
                <c:pt idx="8">
                  <c:v>9.9000000000000005E-2</c:v>
                </c:pt>
                <c:pt idx="9">
                  <c:v>9.9599999999999994E-2</c:v>
                </c:pt>
                <c:pt idx="10">
                  <c:v>0.1003</c:v>
                </c:pt>
                <c:pt idx="11">
                  <c:v>0.1013</c:v>
                </c:pt>
                <c:pt idx="12">
                  <c:v>0.1026</c:v>
                </c:pt>
                <c:pt idx="13">
                  <c:v>0.1043</c:v>
                </c:pt>
                <c:pt idx="14">
                  <c:v>0.1062</c:v>
                </c:pt>
                <c:pt idx="15">
                  <c:v>0.1081</c:v>
                </c:pt>
                <c:pt idx="16">
                  <c:v>0.1095</c:v>
                </c:pt>
                <c:pt idx="17">
                  <c:v>0.11070000000000001</c:v>
                </c:pt>
                <c:pt idx="18">
                  <c:v>0.1116</c:v>
                </c:pt>
                <c:pt idx="19">
                  <c:v>0.11219999999999999</c:v>
                </c:pt>
                <c:pt idx="20">
                  <c:v>0.1129</c:v>
                </c:pt>
                <c:pt idx="21">
                  <c:v>0.1135</c:v>
                </c:pt>
                <c:pt idx="22">
                  <c:v>0.1139</c:v>
                </c:pt>
                <c:pt idx="23">
                  <c:v>0.1145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B1-40A0-8A57-813DFF9229BA}"/>
            </c:ext>
          </c:extLst>
        </c:ser>
        <c:ser>
          <c:idx val="2"/>
          <c:order val="2"/>
          <c:tx>
            <c:strRef>
              <c:f>Sheet1!$D$27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Sheet1!$A$28:$A$51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Sheet1!$D$28:$D$51</c:f>
              <c:numCache>
                <c:formatCode>General</c:formatCode>
                <c:ptCount val="24"/>
                <c:pt idx="0">
                  <c:v>0.1391</c:v>
                </c:pt>
                <c:pt idx="1">
                  <c:v>0.17730000000000001</c:v>
                </c:pt>
                <c:pt idx="2">
                  <c:v>0.1346</c:v>
                </c:pt>
                <c:pt idx="3">
                  <c:v>0.13450000000000001</c:v>
                </c:pt>
                <c:pt idx="4">
                  <c:v>0.1007</c:v>
                </c:pt>
                <c:pt idx="5">
                  <c:v>0.1099</c:v>
                </c:pt>
                <c:pt idx="6">
                  <c:v>0.1003</c:v>
                </c:pt>
                <c:pt idx="7">
                  <c:v>0.13600000000000001</c:v>
                </c:pt>
                <c:pt idx="8">
                  <c:v>0.1123</c:v>
                </c:pt>
                <c:pt idx="9">
                  <c:v>0.1167</c:v>
                </c:pt>
                <c:pt idx="10">
                  <c:v>0.12740000000000001</c:v>
                </c:pt>
                <c:pt idx="11">
                  <c:v>0.1195</c:v>
                </c:pt>
                <c:pt idx="12">
                  <c:v>0.1313</c:v>
                </c:pt>
                <c:pt idx="13">
                  <c:v>0.1782</c:v>
                </c:pt>
                <c:pt idx="14">
                  <c:v>0.21429999999999999</c:v>
                </c:pt>
                <c:pt idx="15">
                  <c:v>0.15559999999999999</c:v>
                </c:pt>
                <c:pt idx="16">
                  <c:v>0.28489999999999999</c:v>
                </c:pt>
                <c:pt idx="17">
                  <c:v>0.22900000000000001</c:v>
                </c:pt>
                <c:pt idx="18">
                  <c:v>0.2009</c:v>
                </c:pt>
                <c:pt idx="19">
                  <c:v>0.2374</c:v>
                </c:pt>
                <c:pt idx="20">
                  <c:v>0.2344</c:v>
                </c:pt>
                <c:pt idx="21">
                  <c:v>0.24859999999999999</c:v>
                </c:pt>
                <c:pt idx="22">
                  <c:v>0.1399</c:v>
                </c:pt>
                <c:pt idx="23">
                  <c:v>0.25669999999999998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B1-40A0-8A57-813DFF922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818400"/>
        <c:axId val="2013817440"/>
      </c:scatterChart>
      <c:valAx>
        <c:axId val="201381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17440"/>
        <c:crosses val="autoZero"/>
        <c:crossBetween val="midCat"/>
      </c:valAx>
      <c:valAx>
        <c:axId val="20138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1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90081</xdr:colOff>
      <xdr:row>32</xdr:row>
      <xdr:rowOff>27338</xdr:rowOff>
    </xdr:from>
    <xdr:to>
      <xdr:col>35</xdr:col>
      <xdr:colOff>137703</xdr:colOff>
      <xdr:row>47</xdr:row>
      <xdr:rowOff>62449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BD439-9404-C31E-A065-09EFB7B10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1621-B815-474C-AE08-BB543411DE5B}">
  <dimension ref="A2:Z155"/>
  <sheetViews>
    <sheetView zoomScale="48" zoomScaleNormal="85" workbookViewId="0">
      <selection activeCell="K20" sqref="K20"/>
    </sheetView>
  </sheetViews>
  <sheetFormatPr defaultRowHeight="14.25" x14ac:dyDescent="0.45"/>
  <sheetData>
    <row r="2" spans="1:4" x14ac:dyDescent="0.45">
      <c r="A2" t="s">
        <v>5</v>
      </c>
    </row>
    <row r="3" spans="1:4" x14ac:dyDescent="0.45">
      <c r="A3" t="s">
        <v>6</v>
      </c>
      <c r="B3" s="4">
        <v>2</v>
      </c>
      <c r="C3" s="4">
        <v>6</v>
      </c>
    </row>
    <row r="4" spans="1:4" x14ac:dyDescent="0.45">
      <c r="A4" t="s">
        <v>7</v>
      </c>
      <c r="B4" s="4">
        <v>13</v>
      </c>
      <c r="C4" s="4">
        <v>25</v>
      </c>
      <c r="D4" s="4">
        <v>17</v>
      </c>
    </row>
    <row r="5" spans="1:4" x14ac:dyDescent="0.45">
      <c r="A5" t="s">
        <v>8</v>
      </c>
      <c r="B5" s="4">
        <v>27</v>
      </c>
      <c r="C5" s="4">
        <v>3</v>
      </c>
      <c r="D5" s="4">
        <v>19</v>
      </c>
    </row>
    <row r="6" spans="1:4" x14ac:dyDescent="0.45">
      <c r="A6" t="s">
        <v>9</v>
      </c>
      <c r="B6" s="4">
        <v>14</v>
      </c>
    </row>
    <row r="7" spans="1:4" x14ac:dyDescent="0.45">
      <c r="A7" t="s">
        <v>10</v>
      </c>
      <c r="B7" s="4">
        <v>12</v>
      </c>
      <c r="C7" s="4">
        <v>6</v>
      </c>
      <c r="D7" s="4">
        <v>24</v>
      </c>
    </row>
    <row r="8" spans="1:4" x14ac:dyDescent="0.45">
      <c r="A8" t="s">
        <v>11</v>
      </c>
      <c r="B8" s="4">
        <v>8</v>
      </c>
      <c r="C8" s="4">
        <v>7</v>
      </c>
      <c r="D8" s="4">
        <v>2</v>
      </c>
    </row>
    <row r="9" spans="1:4" x14ac:dyDescent="0.45">
      <c r="A9" t="s">
        <v>12</v>
      </c>
      <c r="B9" s="4">
        <v>15</v>
      </c>
      <c r="C9" s="4">
        <v>24</v>
      </c>
    </row>
    <row r="10" spans="1:4" x14ac:dyDescent="0.45">
      <c r="A10" t="s">
        <v>13</v>
      </c>
      <c r="B10" s="4">
        <v>6</v>
      </c>
      <c r="C10" s="4">
        <v>8</v>
      </c>
      <c r="D10" s="4">
        <v>5</v>
      </c>
    </row>
    <row r="11" spans="1:4" x14ac:dyDescent="0.45">
      <c r="A11" t="s">
        <v>14</v>
      </c>
      <c r="B11" s="4">
        <v>22</v>
      </c>
      <c r="C11" s="4">
        <v>21</v>
      </c>
      <c r="D11" s="4">
        <v>10</v>
      </c>
    </row>
    <row r="12" spans="1:4" x14ac:dyDescent="0.45">
      <c r="A12" t="s">
        <v>3</v>
      </c>
      <c r="B12" s="4"/>
    </row>
    <row r="13" spans="1:4" x14ac:dyDescent="0.45">
      <c r="A13" t="s">
        <v>15</v>
      </c>
      <c r="B13" s="4"/>
    </row>
    <row r="26" spans="1:26" ht="14.65" thickBot="1" x14ac:dyDescent="0.5"/>
    <row r="27" spans="1:26" x14ac:dyDescent="0.45">
      <c r="A27" t="s">
        <v>4</v>
      </c>
      <c r="B27" t="s">
        <v>0</v>
      </c>
      <c r="C27" t="s">
        <v>1</v>
      </c>
      <c r="D27" t="s">
        <v>2</v>
      </c>
      <c r="E27" s="1" t="s">
        <v>3</v>
      </c>
      <c r="F27" t="s">
        <v>4</v>
      </c>
      <c r="G27" t="s">
        <v>16</v>
      </c>
      <c r="H27" t="s">
        <v>17</v>
      </c>
      <c r="I27" t="s">
        <v>18</v>
      </c>
      <c r="J27" s="1" t="s">
        <v>15</v>
      </c>
      <c r="K27" t="s">
        <v>4</v>
      </c>
      <c r="L27" t="s">
        <v>19</v>
      </c>
      <c r="M27" t="s">
        <v>20</v>
      </c>
      <c r="N27" t="s">
        <v>21</v>
      </c>
      <c r="O27" s="5" t="s">
        <v>25</v>
      </c>
      <c r="P27" t="s">
        <v>4</v>
      </c>
      <c r="Q27" t="s">
        <v>22</v>
      </c>
      <c r="R27" t="s">
        <v>23</v>
      </c>
      <c r="S27" t="s">
        <v>24</v>
      </c>
      <c r="T27" s="5" t="s">
        <v>26</v>
      </c>
      <c r="U27" t="s">
        <v>4</v>
      </c>
      <c r="V27" t="s">
        <v>27</v>
      </c>
      <c r="W27" t="s">
        <v>28</v>
      </c>
      <c r="X27" t="s">
        <v>29</v>
      </c>
      <c r="Y27" s="5" t="s">
        <v>30</v>
      </c>
      <c r="Z27" t="s">
        <v>51</v>
      </c>
    </row>
    <row r="28" spans="1:26" x14ac:dyDescent="0.45">
      <c r="A28">
        <v>1</v>
      </c>
      <c r="B28">
        <v>0.12230000000000001</v>
      </c>
      <c r="C28">
        <v>0.12570000000000001</v>
      </c>
      <c r="D28">
        <v>0.1391</v>
      </c>
      <c r="E28" s="2">
        <f>AVERAGE(B28:D28)</f>
        <v>0.12903333333333333</v>
      </c>
      <c r="F28">
        <v>1</v>
      </c>
      <c r="G28">
        <v>0.1072</v>
      </c>
      <c r="H28">
        <v>0.1249</v>
      </c>
      <c r="I28">
        <v>0.15229999999999999</v>
      </c>
      <c r="J28" s="11">
        <f>AVERAGE(G28:I28)</f>
        <v>0.12813333333333332</v>
      </c>
      <c r="K28">
        <v>1</v>
      </c>
      <c r="L28" s="14">
        <v>0.15909999999999999</v>
      </c>
      <c r="M28" s="14">
        <v>0.15820000000000001</v>
      </c>
      <c r="N28" s="14">
        <v>0.13039999999999999</v>
      </c>
      <c r="O28" s="11">
        <f>AVERAGE(L28:N28)</f>
        <v>0.14923333333333333</v>
      </c>
      <c r="P28">
        <v>1</v>
      </c>
      <c r="Q28">
        <v>0.1179</v>
      </c>
      <c r="R28">
        <v>0.1492</v>
      </c>
      <c r="S28">
        <v>0.1255</v>
      </c>
      <c r="T28" s="11">
        <f>AVERAGE(Q28:S28)</f>
        <v>0.13086666666666666</v>
      </c>
      <c r="U28">
        <v>1</v>
      </c>
      <c r="V28">
        <v>0.25569999999999998</v>
      </c>
      <c r="W28" s="14">
        <v>0.1431</v>
      </c>
      <c r="X28" s="14">
        <v>0.16689999999999999</v>
      </c>
      <c r="Y28" s="11">
        <f>AVERAGE(V28:X28)</f>
        <v>0.18856666666666666</v>
      </c>
    </row>
    <row r="29" spans="1:26" x14ac:dyDescent="0.45">
      <c r="A29">
        <v>2</v>
      </c>
      <c r="B29">
        <v>9.7500000000000003E-2</v>
      </c>
      <c r="C29">
        <v>0.15279999999999999</v>
      </c>
      <c r="D29">
        <v>0.17730000000000001</v>
      </c>
      <c r="E29" s="2">
        <f t="shared" ref="E29:E51" si="0">AVERAGE(B29:D29)</f>
        <v>0.14253333333333332</v>
      </c>
      <c r="F29">
        <v>2</v>
      </c>
      <c r="G29">
        <v>0.14249999999999999</v>
      </c>
      <c r="H29">
        <v>0.1008</v>
      </c>
      <c r="I29">
        <v>0.1295</v>
      </c>
      <c r="J29" s="2">
        <f t="shared" ref="J29:J51" si="1">AVERAGE(G29:I29)</f>
        <v>0.12426666666666668</v>
      </c>
      <c r="K29">
        <v>2</v>
      </c>
      <c r="L29">
        <v>0.18779999999999999</v>
      </c>
      <c r="M29">
        <v>0.18179999999999999</v>
      </c>
      <c r="N29">
        <v>0.15129999999999999</v>
      </c>
      <c r="O29" s="2">
        <f t="shared" ref="O29:O51" si="2">AVERAGE(L29:N29)</f>
        <v>0.17363333333333331</v>
      </c>
      <c r="P29">
        <v>2</v>
      </c>
      <c r="Q29">
        <v>0.16039999999999999</v>
      </c>
      <c r="R29">
        <v>0.1807</v>
      </c>
      <c r="S29">
        <v>0.15640000000000001</v>
      </c>
      <c r="T29" s="2">
        <f t="shared" ref="T29:T51" si="3">AVERAGE(Q29:S29)</f>
        <v>0.1658333333333333</v>
      </c>
      <c r="U29">
        <v>2</v>
      </c>
      <c r="V29" s="14">
        <v>0.19989999999999999</v>
      </c>
      <c r="W29">
        <v>0.1794</v>
      </c>
      <c r="X29">
        <v>0.18679999999999999</v>
      </c>
      <c r="Y29" s="2">
        <f t="shared" ref="Y29:Y51" si="4">AVERAGE(V29:X29)</f>
        <v>0.18869999999999998</v>
      </c>
    </row>
    <row r="30" spans="1:26" x14ac:dyDescent="0.45">
      <c r="A30">
        <v>3</v>
      </c>
      <c r="B30">
        <v>9.7799999999999998E-2</v>
      </c>
      <c r="C30">
        <v>9.7100000000000006E-2</v>
      </c>
      <c r="D30">
        <v>0.1346</v>
      </c>
      <c r="E30" s="2">
        <f t="shared" si="0"/>
        <v>0.10983333333333334</v>
      </c>
      <c r="F30">
        <v>3</v>
      </c>
      <c r="G30">
        <v>0.1452</v>
      </c>
      <c r="H30">
        <v>0.13320000000000001</v>
      </c>
      <c r="I30">
        <v>0.20219999999999999</v>
      </c>
      <c r="J30" s="2">
        <f t="shared" si="1"/>
        <v>0.16019999999999998</v>
      </c>
      <c r="K30">
        <v>3</v>
      </c>
      <c r="L30">
        <v>0.16550000000000001</v>
      </c>
      <c r="M30">
        <v>0.1951</v>
      </c>
      <c r="N30">
        <v>0.17150000000000001</v>
      </c>
      <c r="O30" s="2">
        <f t="shared" si="2"/>
        <v>0.17736666666666667</v>
      </c>
      <c r="P30">
        <v>3</v>
      </c>
      <c r="Q30">
        <v>0.19189999999999999</v>
      </c>
      <c r="R30">
        <v>0.18629999999999999</v>
      </c>
      <c r="S30">
        <v>0.17269999999999999</v>
      </c>
      <c r="T30" s="2">
        <f t="shared" si="3"/>
        <v>0.18363333333333332</v>
      </c>
      <c r="U30">
        <v>3</v>
      </c>
      <c r="V30">
        <v>0.20599999999999999</v>
      </c>
      <c r="W30">
        <v>0.19309999999999999</v>
      </c>
      <c r="X30">
        <v>0.2117</v>
      </c>
      <c r="Y30" s="2">
        <f t="shared" si="4"/>
        <v>0.2036</v>
      </c>
    </row>
    <row r="31" spans="1:26" x14ac:dyDescent="0.45">
      <c r="A31">
        <v>4</v>
      </c>
      <c r="B31">
        <v>9.8299999999999998E-2</v>
      </c>
      <c r="C31">
        <v>9.74E-2</v>
      </c>
      <c r="D31">
        <v>0.13450000000000001</v>
      </c>
      <c r="E31" s="2">
        <f t="shared" si="0"/>
        <v>0.11006666666666666</v>
      </c>
      <c r="F31">
        <v>4</v>
      </c>
      <c r="G31">
        <v>0.13200000000000001</v>
      </c>
      <c r="H31">
        <v>0.13589999999999999</v>
      </c>
      <c r="I31">
        <v>0.1426</v>
      </c>
      <c r="J31" s="2">
        <f t="shared" si="1"/>
        <v>0.13683333333333333</v>
      </c>
      <c r="K31">
        <v>4</v>
      </c>
      <c r="L31">
        <v>0.17660000000000001</v>
      </c>
      <c r="M31">
        <v>0.20730000000000001</v>
      </c>
      <c r="N31">
        <v>0.16120000000000001</v>
      </c>
      <c r="O31" s="2">
        <f t="shared" si="2"/>
        <v>0.1817</v>
      </c>
      <c r="P31">
        <v>4</v>
      </c>
      <c r="Q31">
        <v>0.185</v>
      </c>
      <c r="R31">
        <v>0.20100000000000001</v>
      </c>
      <c r="S31">
        <v>0.1757</v>
      </c>
      <c r="T31" s="2">
        <f t="shared" si="3"/>
        <v>0.18723333333333333</v>
      </c>
      <c r="U31">
        <v>4</v>
      </c>
      <c r="V31">
        <v>0.21210000000000001</v>
      </c>
      <c r="W31">
        <v>0.1961</v>
      </c>
      <c r="X31">
        <v>0.2177</v>
      </c>
      <c r="Y31" s="2">
        <f t="shared" si="4"/>
        <v>0.20863333333333334</v>
      </c>
    </row>
    <row r="32" spans="1:26" x14ac:dyDescent="0.45">
      <c r="A32">
        <v>5</v>
      </c>
      <c r="B32">
        <v>9.8299999999999998E-2</v>
      </c>
      <c r="C32">
        <v>9.7699999999999995E-2</v>
      </c>
      <c r="D32">
        <v>0.1007</v>
      </c>
      <c r="E32" s="2">
        <f t="shared" si="0"/>
        <v>9.8900000000000002E-2</v>
      </c>
      <c r="F32">
        <v>5</v>
      </c>
      <c r="G32">
        <v>0.1198</v>
      </c>
      <c r="H32">
        <v>0.1215</v>
      </c>
      <c r="I32">
        <v>0.1739</v>
      </c>
      <c r="J32" s="2">
        <f t="shared" si="1"/>
        <v>0.1384</v>
      </c>
      <c r="K32">
        <v>5</v>
      </c>
      <c r="L32">
        <v>0.2041</v>
      </c>
      <c r="M32">
        <v>0.19350000000000001</v>
      </c>
      <c r="N32">
        <v>0.18110000000000001</v>
      </c>
      <c r="O32" s="2">
        <f t="shared" si="2"/>
        <v>0.19289999999999999</v>
      </c>
      <c r="P32">
        <v>5</v>
      </c>
      <c r="Q32">
        <v>0.21340000000000001</v>
      </c>
      <c r="R32">
        <v>0.23930000000000001</v>
      </c>
      <c r="S32">
        <v>0.19689999999999999</v>
      </c>
      <c r="T32" s="2">
        <f t="shared" si="3"/>
        <v>0.21653333333333333</v>
      </c>
      <c r="U32">
        <v>5</v>
      </c>
      <c r="V32">
        <v>0.23910000000000001</v>
      </c>
      <c r="W32">
        <v>0.2102</v>
      </c>
      <c r="X32">
        <v>0.21870000000000001</v>
      </c>
      <c r="Y32" s="2">
        <f t="shared" si="4"/>
        <v>0.22266666666666668</v>
      </c>
    </row>
    <row r="33" spans="1:25" x14ac:dyDescent="0.45">
      <c r="A33">
        <v>6</v>
      </c>
      <c r="B33">
        <v>9.8699999999999996E-2</v>
      </c>
      <c r="C33">
        <v>9.8000000000000004E-2</v>
      </c>
      <c r="D33">
        <v>0.1099</v>
      </c>
      <c r="E33" s="2">
        <f t="shared" si="0"/>
        <v>0.1022</v>
      </c>
      <c r="F33">
        <v>6</v>
      </c>
      <c r="G33">
        <v>0.14879999999999999</v>
      </c>
      <c r="H33">
        <v>0.12889999999999999</v>
      </c>
      <c r="I33">
        <v>0.2019</v>
      </c>
      <c r="J33" s="2">
        <f t="shared" si="1"/>
        <v>0.15986666666666663</v>
      </c>
      <c r="K33">
        <v>6</v>
      </c>
      <c r="L33">
        <v>0.18390000000000001</v>
      </c>
      <c r="M33">
        <v>0.1953</v>
      </c>
      <c r="N33">
        <v>0.1779</v>
      </c>
      <c r="O33" s="2">
        <f t="shared" si="2"/>
        <v>0.18569999999999998</v>
      </c>
      <c r="P33">
        <v>6</v>
      </c>
      <c r="Q33">
        <v>0.22750000000000001</v>
      </c>
      <c r="R33">
        <v>0.24460000000000001</v>
      </c>
      <c r="S33">
        <v>0.23480000000000001</v>
      </c>
      <c r="T33" s="2">
        <f t="shared" si="3"/>
        <v>0.23563333333333336</v>
      </c>
      <c r="U33">
        <v>6</v>
      </c>
      <c r="V33">
        <v>0.246</v>
      </c>
      <c r="W33">
        <v>0.21690000000000001</v>
      </c>
      <c r="X33">
        <v>0.24859999999999999</v>
      </c>
      <c r="Y33" s="2">
        <f t="shared" si="4"/>
        <v>0.23716666666666666</v>
      </c>
    </row>
    <row r="34" spans="1:25" x14ac:dyDescent="0.45">
      <c r="A34">
        <v>7</v>
      </c>
      <c r="B34">
        <v>9.8900000000000002E-2</v>
      </c>
      <c r="C34">
        <v>9.8400000000000001E-2</v>
      </c>
      <c r="D34">
        <v>0.1003</v>
      </c>
      <c r="E34" s="2">
        <f t="shared" si="0"/>
        <v>9.9199999999999997E-2</v>
      </c>
      <c r="F34">
        <v>7</v>
      </c>
      <c r="G34">
        <v>0.1108</v>
      </c>
      <c r="H34">
        <v>0.1123</v>
      </c>
      <c r="I34">
        <v>0.14799999999999999</v>
      </c>
      <c r="J34" s="2">
        <f t="shared" si="1"/>
        <v>0.12369999999999999</v>
      </c>
      <c r="K34">
        <v>7</v>
      </c>
      <c r="L34">
        <v>0.20419999999999999</v>
      </c>
      <c r="M34">
        <v>0.20730000000000001</v>
      </c>
      <c r="N34">
        <v>0.18970000000000001</v>
      </c>
      <c r="O34" s="2">
        <f t="shared" si="2"/>
        <v>0.20039999999999999</v>
      </c>
      <c r="P34">
        <v>7</v>
      </c>
      <c r="Q34">
        <v>0.26579999999999998</v>
      </c>
      <c r="R34">
        <v>0.28110000000000002</v>
      </c>
      <c r="S34">
        <v>0.2354</v>
      </c>
      <c r="T34" s="2">
        <f t="shared" si="3"/>
        <v>0.26076666666666665</v>
      </c>
      <c r="U34">
        <v>7</v>
      </c>
      <c r="V34">
        <v>0.25040000000000001</v>
      </c>
      <c r="W34">
        <v>0.23269999999999999</v>
      </c>
      <c r="X34">
        <v>0.27089999999999997</v>
      </c>
      <c r="Y34" s="13">
        <f t="shared" si="4"/>
        <v>0.25133333333333335</v>
      </c>
    </row>
    <row r="35" spans="1:25" x14ac:dyDescent="0.45">
      <c r="A35">
        <v>8</v>
      </c>
      <c r="B35">
        <v>9.9299999999999999E-2</v>
      </c>
      <c r="C35">
        <v>9.8699999999999996E-2</v>
      </c>
      <c r="D35">
        <v>0.13600000000000001</v>
      </c>
      <c r="E35" s="2">
        <f t="shared" si="0"/>
        <v>0.11133333333333334</v>
      </c>
      <c r="F35">
        <v>8</v>
      </c>
      <c r="G35">
        <v>0.1714</v>
      </c>
      <c r="H35">
        <v>0.1537</v>
      </c>
      <c r="I35">
        <v>0.1676</v>
      </c>
      <c r="J35" s="2">
        <f t="shared" si="1"/>
        <v>0.16423333333333334</v>
      </c>
      <c r="K35">
        <v>8</v>
      </c>
      <c r="L35">
        <v>0.2132</v>
      </c>
      <c r="M35">
        <v>0.21279999999999999</v>
      </c>
      <c r="N35">
        <v>0.20810000000000001</v>
      </c>
      <c r="O35" s="2">
        <f t="shared" si="2"/>
        <v>0.21136666666666667</v>
      </c>
      <c r="P35">
        <v>8</v>
      </c>
      <c r="Q35">
        <v>0.27439999999999998</v>
      </c>
      <c r="R35">
        <v>0.28699999999999998</v>
      </c>
      <c r="S35">
        <v>0.2424</v>
      </c>
      <c r="T35" s="2">
        <f t="shared" si="3"/>
        <v>0.2679333333333333</v>
      </c>
      <c r="U35">
        <v>8</v>
      </c>
      <c r="V35">
        <v>0.28739999999999999</v>
      </c>
      <c r="W35">
        <v>0.25609999999999999</v>
      </c>
      <c r="X35">
        <v>0.26690000000000003</v>
      </c>
      <c r="Y35" s="11">
        <f t="shared" si="4"/>
        <v>0.27013333333333334</v>
      </c>
    </row>
    <row r="36" spans="1:25" x14ac:dyDescent="0.45">
      <c r="A36">
        <v>9</v>
      </c>
      <c r="B36">
        <v>9.9699999999999997E-2</v>
      </c>
      <c r="C36">
        <v>9.9000000000000005E-2</v>
      </c>
      <c r="D36">
        <v>0.1123</v>
      </c>
      <c r="E36" s="2">
        <f t="shared" si="0"/>
        <v>0.10366666666666667</v>
      </c>
      <c r="F36">
        <v>9</v>
      </c>
      <c r="G36">
        <v>0.1336</v>
      </c>
      <c r="H36">
        <v>0.1128</v>
      </c>
      <c r="I36">
        <v>0.1802</v>
      </c>
      <c r="J36" s="2">
        <f t="shared" si="1"/>
        <v>0.14219999999999999</v>
      </c>
      <c r="K36">
        <v>9</v>
      </c>
      <c r="L36">
        <v>0.22720000000000001</v>
      </c>
      <c r="M36">
        <v>0.24759999999999999</v>
      </c>
      <c r="N36">
        <v>0.2031</v>
      </c>
      <c r="O36" s="2">
        <f t="shared" si="2"/>
        <v>0.22596666666666665</v>
      </c>
      <c r="P36">
        <v>9</v>
      </c>
      <c r="Q36">
        <v>0.26650000000000001</v>
      </c>
      <c r="R36">
        <v>0.31780000000000003</v>
      </c>
      <c r="S36">
        <v>0.25679999999999997</v>
      </c>
      <c r="T36" s="2">
        <f t="shared" si="3"/>
        <v>0.28036666666666665</v>
      </c>
      <c r="U36">
        <v>9</v>
      </c>
      <c r="V36">
        <v>0.32629999999999998</v>
      </c>
      <c r="W36">
        <v>0.27710000000000001</v>
      </c>
      <c r="X36">
        <v>0.30780000000000002</v>
      </c>
      <c r="Y36" s="2">
        <f t="shared" si="4"/>
        <v>0.30373333333333336</v>
      </c>
    </row>
    <row r="37" spans="1:25" x14ac:dyDescent="0.45">
      <c r="A37">
        <v>10</v>
      </c>
      <c r="B37">
        <v>0.1002</v>
      </c>
      <c r="C37">
        <v>9.9599999999999994E-2</v>
      </c>
      <c r="D37">
        <v>0.1167</v>
      </c>
      <c r="E37" s="2">
        <f t="shared" si="0"/>
        <v>0.1055</v>
      </c>
      <c r="F37">
        <v>10</v>
      </c>
      <c r="G37">
        <v>0.1183</v>
      </c>
      <c r="H37">
        <v>0.11509999999999999</v>
      </c>
      <c r="I37">
        <v>0.14480000000000001</v>
      </c>
      <c r="J37" s="2">
        <f t="shared" si="1"/>
        <v>0.12606666666666666</v>
      </c>
      <c r="K37">
        <v>10</v>
      </c>
      <c r="L37">
        <v>0.24390000000000001</v>
      </c>
      <c r="M37">
        <v>0.23669999999999999</v>
      </c>
      <c r="N37">
        <v>0.2006</v>
      </c>
      <c r="O37" s="2">
        <f t="shared" si="2"/>
        <v>0.22706666666666667</v>
      </c>
      <c r="P37">
        <v>10</v>
      </c>
      <c r="Q37">
        <v>0.2752</v>
      </c>
      <c r="R37">
        <v>0.27429999999999999</v>
      </c>
      <c r="S37">
        <v>0.27429999999999999</v>
      </c>
      <c r="T37" s="2">
        <f t="shared" si="3"/>
        <v>0.27460000000000001</v>
      </c>
      <c r="U37">
        <v>10</v>
      </c>
      <c r="V37" s="14">
        <v>0.31830000000000003</v>
      </c>
      <c r="W37">
        <v>0.27560000000000001</v>
      </c>
      <c r="X37">
        <v>0.3619</v>
      </c>
      <c r="Y37" s="2">
        <f t="shared" si="4"/>
        <v>0.31860000000000005</v>
      </c>
    </row>
    <row r="38" spans="1:25" x14ac:dyDescent="0.45">
      <c r="A38">
        <v>11</v>
      </c>
      <c r="B38">
        <v>0.10150000000000001</v>
      </c>
      <c r="C38">
        <v>0.1003</v>
      </c>
      <c r="D38">
        <v>0.12740000000000001</v>
      </c>
      <c r="E38" s="2">
        <f t="shared" si="0"/>
        <v>0.10973333333333335</v>
      </c>
      <c r="F38">
        <v>11</v>
      </c>
      <c r="G38">
        <v>0.19059999999999999</v>
      </c>
      <c r="H38">
        <v>0.1673</v>
      </c>
      <c r="I38">
        <v>0.15310000000000001</v>
      </c>
      <c r="J38" s="2">
        <f t="shared" si="1"/>
        <v>0.17033333333333334</v>
      </c>
      <c r="K38">
        <v>11</v>
      </c>
      <c r="L38">
        <v>0.249</v>
      </c>
      <c r="M38">
        <v>0.23930000000000001</v>
      </c>
      <c r="N38">
        <v>0.2026</v>
      </c>
      <c r="O38" s="2">
        <f t="shared" si="2"/>
        <v>0.23030000000000003</v>
      </c>
      <c r="P38">
        <v>11</v>
      </c>
      <c r="Q38">
        <v>0.30230000000000001</v>
      </c>
      <c r="R38">
        <v>0.32319999999999999</v>
      </c>
      <c r="S38">
        <v>0.28599999999999998</v>
      </c>
      <c r="T38" s="2">
        <f t="shared" si="3"/>
        <v>0.30383333333333334</v>
      </c>
      <c r="U38">
        <v>11</v>
      </c>
      <c r="V38">
        <v>0.29730000000000001</v>
      </c>
      <c r="W38" s="14">
        <v>0.29330000000000001</v>
      </c>
      <c r="X38" s="14">
        <v>0.31509999999999999</v>
      </c>
      <c r="Y38" s="2">
        <f t="shared" si="4"/>
        <v>0.3019</v>
      </c>
    </row>
    <row r="39" spans="1:25" x14ac:dyDescent="0.45">
      <c r="A39">
        <v>12</v>
      </c>
      <c r="B39">
        <v>0.1032</v>
      </c>
      <c r="C39">
        <v>0.1013</v>
      </c>
      <c r="D39">
        <v>0.1195</v>
      </c>
      <c r="E39" s="11">
        <f t="shared" si="0"/>
        <v>0.108</v>
      </c>
      <c r="F39">
        <v>12</v>
      </c>
      <c r="G39">
        <v>0.12330000000000001</v>
      </c>
      <c r="H39">
        <v>0.12740000000000001</v>
      </c>
      <c r="I39">
        <v>0.217</v>
      </c>
      <c r="J39" s="2">
        <f t="shared" si="1"/>
        <v>0.15590000000000001</v>
      </c>
      <c r="K39">
        <v>12</v>
      </c>
      <c r="L39">
        <v>0.2581</v>
      </c>
      <c r="M39">
        <v>0.26679999999999998</v>
      </c>
      <c r="N39">
        <v>0.219</v>
      </c>
      <c r="O39" s="2">
        <f t="shared" si="2"/>
        <v>0.24796666666666664</v>
      </c>
      <c r="P39">
        <v>12</v>
      </c>
      <c r="Q39">
        <v>0.33150000000000002</v>
      </c>
      <c r="R39">
        <v>0.32629999999999998</v>
      </c>
      <c r="S39">
        <v>0.28489999999999999</v>
      </c>
      <c r="T39" s="2">
        <f t="shared" si="3"/>
        <v>0.31423333333333331</v>
      </c>
      <c r="U39">
        <v>12</v>
      </c>
      <c r="V39">
        <v>0.313</v>
      </c>
      <c r="W39">
        <v>0.23180000000000001</v>
      </c>
      <c r="X39">
        <v>0.31340000000000001</v>
      </c>
      <c r="Y39" s="2">
        <f t="shared" si="4"/>
        <v>0.28606666666666664</v>
      </c>
    </row>
    <row r="40" spans="1:25" x14ac:dyDescent="0.45">
      <c r="A40">
        <v>13</v>
      </c>
      <c r="B40">
        <v>0.1052</v>
      </c>
      <c r="C40">
        <v>0.1026</v>
      </c>
      <c r="D40">
        <v>0.1313</v>
      </c>
      <c r="E40" s="2">
        <f t="shared" si="0"/>
        <v>0.11303333333333332</v>
      </c>
      <c r="F40">
        <v>13</v>
      </c>
      <c r="G40">
        <v>0.12470000000000001</v>
      </c>
      <c r="H40">
        <v>0.13120000000000001</v>
      </c>
      <c r="I40">
        <v>0.18579999999999999</v>
      </c>
      <c r="J40" s="2">
        <f t="shared" si="1"/>
        <v>0.14723333333333333</v>
      </c>
      <c r="K40">
        <v>13</v>
      </c>
      <c r="L40">
        <v>0.26129999999999998</v>
      </c>
      <c r="M40">
        <v>0.28639999999999999</v>
      </c>
      <c r="N40">
        <v>0.2442</v>
      </c>
      <c r="O40" s="2">
        <f t="shared" si="2"/>
        <v>0.26396666666666663</v>
      </c>
      <c r="P40">
        <v>13</v>
      </c>
      <c r="Q40">
        <v>0.3342</v>
      </c>
      <c r="R40">
        <v>0.3427</v>
      </c>
      <c r="S40">
        <v>0.2848</v>
      </c>
      <c r="T40" s="2">
        <f t="shared" si="3"/>
        <v>0.32056666666666667</v>
      </c>
      <c r="U40">
        <v>13</v>
      </c>
      <c r="V40">
        <v>0.318</v>
      </c>
      <c r="W40">
        <v>0.2697</v>
      </c>
      <c r="X40">
        <v>0.40289999999999998</v>
      </c>
      <c r="Y40" s="2">
        <f t="shared" si="4"/>
        <v>0.33019999999999999</v>
      </c>
    </row>
    <row r="41" spans="1:25" x14ac:dyDescent="0.45">
      <c r="A41">
        <v>14</v>
      </c>
      <c r="B41">
        <v>0.1074</v>
      </c>
      <c r="C41">
        <v>0.1043</v>
      </c>
      <c r="D41">
        <v>0.1782</v>
      </c>
      <c r="E41" s="2">
        <f t="shared" si="0"/>
        <v>0.12996666666666667</v>
      </c>
      <c r="F41">
        <v>14</v>
      </c>
      <c r="G41">
        <v>0.1341</v>
      </c>
      <c r="H41">
        <v>0.15160000000000001</v>
      </c>
      <c r="I41">
        <v>0.15770000000000001</v>
      </c>
      <c r="J41" s="2">
        <f t="shared" si="1"/>
        <v>0.14780000000000001</v>
      </c>
      <c r="K41">
        <v>14</v>
      </c>
      <c r="L41">
        <v>0.27239999999999998</v>
      </c>
      <c r="M41">
        <v>0.2792</v>
      </c>
      <c r="N41">
        <v>0.27229999999999999</v>
      </c>
      <c r="O41" s="2">
        <f t="shared" si="2"/>
        <v>0.27463333333333334</v>
      </c>
      <c r="P41">
        <v>14</v>
      </c>
      <c r="Q41">
        <v>0.34110000000000001</v>
      </c>
      <c r="R41">
        <v>0.3548</v>
      </c>
      <c r="S41">
        <v>0.33960000000000001</v>
      </c>
      <c r="T41" s="2">
        <f t="shared" si="3"/>
        <v>0.34516666666666662</v>
      </c>
      <c r="U41">
        <v>14</v>
      </c>
      <c r="V41">
        <v>0.3211</v>
      </c>
      <c r="W41">
        <v>0.30020000000000002</v>
      </c>
      <c r="X41">
        <v>0.4</v>
      </c>
      <c r="Y41" s="2">
        <f t="shared" si="4"/>
        <v>0.34043333333333337</v>
      </c>
    </row>
    <row r="42" spans="1:25" x14ac:dyDescent="0.45">
      <c r="A42">
        <v>15</v>
      </c>
      <c r="B42">
        <v>0.1089</v>
      </c>
      <c r="C42">
        <v>0.1062</v>
      </c>
      <c r="D42">
        <v>0.21429999999999999</v>
      </c>
      <c r="E42" s="2">
        <f t="shared" si="0"/>
        <v>0.14313333333333333</v>
      </c>
      <c r="F42">
        <v>15</v>
      </c>
      <c r="G42">
        <v>0.13569999999999999</v>
      </c>
      <c r="H42">
        <v>0.13159999999999999</v>
      </c>
      <c r="I42">
        <v>0.16800000000000001</v>
      </c>
      <c r="J42" s="2">
        <f t="shared" si="1"/>
        <v>0.14510000000000001</v>
      </c>
      <c r="K42">
        <v>15</v>
      </c>
      <c r="L42">
        <v>0.29570000000000002</v>
      </c>
      <c r="M42">
        <v>0.30480000000000002</v>
      </c>
      <c r="N42">
        <v>0.25109999999999999</v>
      </c>
      <c r="O42" s="2">
        <f t="shared" si="2"/>
        <v>0.28386666666666666</v>
      </c>
      <c r="P42">
        <v>15</v>
      </c>
      <c r="Q42">
        <v>0.3528</v>
      </c>
      <c r="R42">
        <v>0.33550000000000002</v>
      </c>
      <c r="S42">
        <v>0.32550000000000001</v>
      </c>
      <c r="T42" s="2">
        <f t="shared" si="3"/>
        <v>0.33793333333333336</v>
      </c>
      <c r="U42">
        <v>15</v>
      </c>
      <c r="V42">
        <v>0.40189999999999998</v>
      </c>
      <c r="W42">
        <v>0.3972</v>
      </c>
      <c r="X42">
        <v>0.40329999999999999</v>
      </c>
      <c r="Y42" s="2">
        <f t="shared" si="4"/>
        <v>0.40079999999999999</v>
      </c>
    </row>
    <row r="43" spans="1:25" x14ac:dyDescent="0.45">
      <c r="A43">
        <v>16</v>
      </c>
      <c r="B43">
        <v>0.11</v>
      </c>
      <c r="C43">
        <v>0.1081</v>
      </c>
      <c r="D43">
        <v>0.15559999999999999</v>
      </c>
      <c r="E43" s="2">
        <f t="shared" si="0"/>
        <v>0.12456666666666667</v>
      </c>
      <c r="F43">
        <v>16</v>
      </c>
      <c r="G43">
        <v>0.13089999999999999</v>
      </c>
      <c r="H43">
        <v>0.13109999999999999</v>
      </c>
      <c r="I43">
        <v>0.19670000000000001</v>
      </c>
      <c r="J43" s="2">
        <f t="shared" si="1"/>
        <v>0.15290000000000001</v>
      </c>
      <c r="K43">
        <v>16</v>
      </c>
      <c r="L43">
        <v>0.29239999999999999</v>
      </c>
      <c r="M43">
        <v>0.32269999999999999</v>
      </c>
      <c r="N43">
        <v>0.2823</v>
      </c>
      <c r="O43" s="2">
        <f t="shared" si="2"/>
        <v>0.29913333333333331</v>
      </c>
      <c r="P43">
        <v>16</v>
      </c>
      <c r="Q43">
        <v>0.39810000000000001</v>
      </c>
      <c r="R43">
        <v>0.34410000000000002</v>
      </c>
      <c r="S43">
        <v>0.36499999999999999</v>
      </c>
      <c r="T43" s="2">
        <f t="shared" si="3"/>
        <v>0.36906666666666665</v>
      </c>
      <c r="U43">
        <v>16</v>
      </c>
      <c r="V43">
        <v>0.40720000000000001</v>
      </c>
      <c r="W43">
        <v>0.38</v>
      </c>
      <c r="X43">
        <v>0.41289999999999999</v>
      </c>
      <c r="Y43" s="2">
        <f t="shared" si="4"/>
        <v>0.4000333333333333</v>
      </c>
    </row>
    <row r="44" spans="1:25" x14ac:dyDescent="0.45">
      <c r="A44">
        <v>17</v>
      </c>
      <c r="B44">
        <v>0.1108</v>
      </c>
      <c r="C44">
        <v>0.1095</v>
      </c>
      <c r="D44">
        <v>0.28489999999999999</v>
      </c>
      <c r="E44" s="2">
        <f t="shared" si="0"/>
        <v>0.16839999999999999</v>
      </c>
      <c r="F44">
        <v>17</v>
      </c>
      <c r="G44">
        <v>0.1449</v>
      </c>
      <c r="H44">
        <v>0.15310000000000001</v>
      </c>
      <c r="I44">
        <v>0.15390000000000001</v>
      </c>
      <c r="J44" s="2">
        <f t="shared" si="1"/>
        <v>0.15063333333333337</v>
      </c>
      <c r="K44">
        <v>17</v>
      </c>
      <c r="L44">
        <v>0.29780000000000001</v>
      </c>
      <c r="M44">
        <v>0.32869999999999999</v>
      </c>
      <c r="N44">
        <v>0.28110000000000002</v>
      </c>
      <c r="O44" s="2">
        <f t="shared" si="2"/>
        <v>0.30253333333333338</v>
      </c>
      <c r="P44">
        <v>17</v>
      </c>
      <c r="Q44">
        <v>0.41660000000000003</v>
      </c>
      <c r="R44">
        <v>0.37130000000000002</v>
      </c>
      <c r="S44">
        <v>0.32600000000000001</v>
      </c>
      <c r="T44" s="2">
        <f t="shared" si="3"/>
        <v>0.37130000000000002</v>
      </c>
      <c r="U44">
        <v>17</v>
      </c>
      <c r="V44">
        <v>0.43940000000000001</v>
      </c>
      <c r="W44">
        <v>0.38790000000000002</v>
      </c>
      <c r="X44">
        <v>0.4002</v>
      </c>
      <c r="Y44" s="2">
        <f t="shared" si="4"/>
        <v>0.40916666666666668</v>
      </c>
    </row>
    <row r="45" spans="1:25" x14ac:dyDescent="0.45">
      <c r="A45">
        <v>18</v>
      </c>
      <c r="B45">
        <v>0.1113</v>
      </c>
      <c r="C45">
        <v>0.11070000000000001</v>
      </c>
      <c r="D45">
        <v>0.22900000000000001</v>
      </c>
      <c r="E45" s="2">
        <f t="shared" si="0"/>
        <v>0.15033333333333335</v>
      </c>
      <c r="F45">
        <v>18</v>
      </c>
      <c r="G45">
        <v>0.15260000000000001</v>
      </c>
      <c r="H45">
        <v>0.19889999999999999</v>
      </c>
      <c r="I45">
        <v>0.17949999999999999</v>
      </c>
      <c r="J45" s="2">
        <f t="shared" si="1"/>
        <v>0.17700000000000002</v>
      </c>
      <c r="K45">
        <v>18</v>
      </c>
      <c r="L45" s="14">
        <v>0.32229999999999998</v>
      </c>
      <c r="M45">
        <v>0.3286</v>
      </c>
      <c r="N45">
        <v>0.33689999999999998</v>
      </c>
      <c r="O45" s="2">
        <f t="shared" si="2"/>
        <v>0.32926666666666665</v>
      </c>
      <c r="P45">
        <v>18</v>
      </c>
      <c r="Q45">
        <v>0.4173</v>
      </c>
      <c r="R45">
        <v>0.36399999999999999</v>
      </c>
      <c r="S45">
        <v>0.36370000000000002</v>
      </c>
      <c r="T45" s="2">
        <f t="shared" si="3"/>
        <v>0.38166666666666665</v>
      </c>
      <c r="U45">
        <v>18</v>
      </c>
      <c r="V45">
        <v>0.41649999999999998</v>
      </c>
      <c r="W45">
        <v>0.4012</v>
      </c>
      <c r="X45">
        <v>0.39090000000000003</v>
      </c>
      <c r="Y45" s="2">
        <f t="shared" si="4"/>
        <v>0.40286666666666671</v>
      </c>
    </row>
    <row r="46" spans="1:25" x14ac:dyDescent="0.45">
      <c r="A46">
        <v>19</v>
      </c>
      <c r="B46">
        <v>0.112</v>
      </c>
      <c r="C46">
        <v>0.1116</v>
      </c>
      <c r="D46">
        <v>0.2009</v>
      </c>
      <c r="E46" s="2">
        <f t="shared" si="0"/>
        <v>0.14149999999999999</v>
      </c>
      <c r="F46">
        <v>19</v>
      </c>
      <c r="G46">
        <v>0.2326</v>
      </c>
      <c r="H46">
        <v>0.31580000000000003</v>
      </c>
      <c r="I46">
        <v>0.2301</v>
      </c>
      <c r="J46" s="2">
        <f t="shared" si="1"/>
        <v>0.25950000000000001</v>
      </c>
      <c r="K46">
        <v>19</v>
      </c>
      <c r="L46">
        <v>0.31950000000000001</v>
      </c>
      <c r="M46">
        <v>0.3503</v>
      </c>
      <c r="N46">
        <v>0.31140000000000001</v>
      </c>
      <c r="O46" s="2">
        <f t="shared" si="2"/>
        <v>0.32706666666666667</v>
      </c>
      <c r="P46">
        <v>19</v>
      </c>
      <c r="Q46">
        <v>0.4299</v>
      </c>
      <c r="R46">
        <v>0.38890000000000002</v>
      </c>
      <c r="S46">
        <v>0.38469999999999999</v>
      </c>
      <c r="T46" s="2">
        <f t="shared" si="3"/>
        <v>0.40116666666666667</v>
      </c>
      <c r="U46">
        <v>19</v>
      </c>
      <c r="V46">
        <v>0.45279999999999998</v>
      </c>
      <c r="W46">
        <v>0.41980000000000001</v>
      </c>
      <c r="X46">
        <v>0.33660000000000001</v>
      </c>
      <c r="Y46" s="2">
        <f t="shared" si="4"/>
        <v>0.40306666666666668</v>
      </c>
    </row>
    <row r="47" spans="1:25" x14ac:dyDescent="0.45">
      <c r="A47">
        <v>20</v>
      </c>
      <c r="B47">
        <v>0.11219999999999999</v>
      </c>
      <c r="C47">
        <v>0.11219999999999999</v>
      </c>
      <c r="D47">
        <v>0.2374</v>
      </c>
      <c r="E47" s="2">
        <f t="shared" si="0"/>
        <v>0.15393333333333334</v>
      </c>
      <c r="F47">
        <v>20</v>
      </c>
      <c r="G47">
        <v>0.18160000000000001</v>
      </c>
      <c r="H47">
        <v>0.13489999999999999</v>
      </c>
      <c r="I47">
        <v>0.17780000000000001</v>
      </c>
      <c r="J47" s="2">
        <f t="shared" si="1"/>
        <v>0.16476666666666667</v>
      </c>
      <c r="K47">
        <v>20</v>
      </c>
      <c r="L47">
        <v>0.30980000000000002</v>
      </c>
      <c r="M47">
        <v>0.38009999999999999</v>
      </c>
      <c r="N47">
        <v>0.31919999999999998</v>
      </c>
      <c r="O47" s="2">
        <f t="shared" si="2"/>
        <v>0.33636666666666665</v>
      </c>
      <c r="P47">
        <v>20</v>
      </c>
      <c r="Q47">
        <v>0.45860000000000001</v>
      </c>
      <c r="R47">
        <v>0.42080000000000001</v>
      </c>
      <c r="S47">
        <v>0.42070000000000002</v>
      </c>
      <c r="T47" s="2">
        <f t="shared" si="3"/>
        <v>0.43336666666666668</v>
      </c>
      <c r="U47">
        <v>20</v>
      </c>
      <c r="V47">
        <v>0.4461</v>
      </c>
      <c r="W47">
        <v>0.43169999999999997</v>
      </c>
      <c r="X47">
        <v>0.19819999999999999</v>
      </c>
      <c r="Y47" s="2">
        <f t="shared" si="4"/>
        <v>0.35866666666666663</v>
      </c>
    </row>
    <row r="48" spans="1:25" x14ac:dyDescent="0.45">
      <c r="A48">
        <v>21</v>
      </c>
      <c r="B48">
        <v>0.11260000000000001</v>
      </c>
      <c r="C48">
        <v>0.1129</v>
      </c>
      <c r="D48">
        <v>0.2344</v>
      </c>
      <c r="E48" s="2">
        <f t="shared" si="0"/>
        <v>0.15329999999999999</v>
      </c>
      <c r="F48">
        <v>21</v>
      </c>
      <c r="G48">
        <v>0.1341</v>
      </c>
      <c r="H48">
        <v>0.2014</v>
      </c>
      <c r="I48">
        <v>0.2586</v>
      </c>
      <c r="J48" s="2">
        <f t="shared" si="1"/>
        <v>0.19803333333333337</v>
      </c>
      <c r="K48">
        <v>21</v>
      </c>
      <c r="L48">
        <v>0.29409999999999997</v>
      </c>
      <c r="M48">
        <v>0.4032</v>
      </c>
      <c r="N48">
        <v>0.33900000000000002</v>
      </c>
      <c r="O48" s="2">
        <f t="shared" si="2"/>
        <v>0.34543333333333331</v>
      </c>
      <c r="P48">
        <v>21</v>
      </c>
      <c r="Q48">
        <v>0.41199999999999998</v>
      </c>
      <c r="R48">
        <v>0.45219999999999999</v>
      </c>
      <c r="S48">
        <v>0.4365</v>
      </c>
      <c r="T48" s="2">
        <f t="shared" si="3"/>
        <v>0.43356666666666666</v>
      </c>
      <c r="U48">
        <v>21</v>
      </c>
      <c r="V48">
        <v>0.46010000000000001</v>
      </c>
      <c r="W48">
        <v>0.45450000000000002</v>
      </c>
      <c r="X48">
        <v>0.12720000000000001</v>
      </c>
      <c r="Y48" s="2">
        <f t="shared" si="4"/>
        <v>0.34726666666666667</v>
      </c>
    </row>
    <row r="49" spans="1:25" x14ac:dyDescent="0.45">
      <c r="A49">
        <v>22</v>
      </c>
      <c r="B49">
        <v>0.1132</v>
      </c>
      <c r="C49">
        <v>0.1135</v>
      </c>
      <c r="D49">
        <v>0.24859999999999999</v>
      </c>
      <c r="E49" s="2">
        <f t="shared" si="0"/>
        <v>0.15843333333333334</v>
      </c>
      <c r="F49">
        <v>22</v>
      </c>
      <c r="G49">
        <v>0.13450000000000001</v>
      </c>
      <c r="H49">
        <v>0.13719999999999999</v>
      </c>
      <c r="I49">
        <v>0.2016</v>
      </c>
      <c r="J49" s="2">
        <f t="shared" si="1"/>
        <v>0.15776666666666667</v>
      </c>
      <c r="K49">
        <v>22</v>
      </c>
      <c r="L49">
        <v>0.317</v>
      </c>
      <c r="M49">
        <v>0.41060000000000002</v>
      </c>
      <c r="N49">
        <v>0.38179999999999997</v>
      </c>
      <c r="O49" s="2">
        <f t="shared" si="2"/>
        <v>0.36979999999999996</v>
      </c>
      <c r="P49">
        <v>22</v>
      </c>
      <c r="Q49">
        <v>0.39150000000000001</v>
      </c>
      <c r="R49">
        <v>0.51819999999999999</v>
      </c>
      <c r="S49">
        <v>0.44950000000000001</v>
      </c>
      <c r="T49" s="11">
        <f t="shared" si="3"/>
        <v>0.45306666666666667</v>
      </c>
      <c r="U49">
        <v>22</v>
      </c>
      <c r="V49">
        <v>0.44729999999999998</v>
      </c>
      <c r="W49">
        <v>0.45900000000000002</v>
      </c>
      <c r="X49">
        <v>0.23039999999999999</v>
      </c>
      <c r="Y49" s="2">
        <f t="shared" si="4"/>
        <v>0.37890000000000001</v>
      </c>
    </row>
    <row r="50" spans="1:25" x14ac:dyDescent="0.45">
      <c r="A50">
        <v>23</v>
      </c>
      <c r="B50">
        <v>0.1132</v>
      </c>
      <c r="C50">
        <v>0.1139</v>
      </c>
      <c r="D50">
        <v>0.1399</v>
      </c>
      <c r="E50" s="2">
        <f t="shared" si="0"/>
        <v>0.12233333333333334</v>
      </c>
      <c r="F50">
        <v>23</v>
      </c>
      <c r="G50">
        <v>0.1346</v>
      </c>
      <c r="H50">
        <v>0.1376</v>
      </c>
      <c r="I50">
        <v>0.23749999999999999</v>
      </c>
      <c r="J50" s="2">
        <f t="shared" si="1"/>
        <v>0.16990000000000002</v>
      </c>
      <c r="K50">
        <v>23</v>
      </c>
      <c r="L50">
        <v>0.29859999999999998</v>
      </c>
      <c r="M50">
        <v>0.41020000000000001</v>
      </c>
      <c r="N50">
        <v>0.39460000000000001</v>
      </c>
      <c r="O50" s="2">
        <f t="shared" si="2"/>
        <v>0.36779999999999996</v>
      </c>
      <c r="P50">
        <v>23</v>
      </c>
      <c r="Q50">
        <v>0.37780000000000002</v>
      </c>
      <c r="R50">
        <v>0.48749999999999999</v>
      </c>
      <c r="S50">
        <v>0.60160000000000002</v>
      </c>
      <c r="T50" s="2">
        <f t="shared" si="3"/>
        <v>0.48896666666666661</v>
      </c>
      <c r="U50">
        <v>23</v>
      </c>
      <c r="V50">
        <v>0.46989999999999998</v>
      </c>
      <c r="W50">
        <v>0.44379999999999997</v>
      </c>
      <c r="X50">
        <v>0.23400000000000001</v>
      </c>
      <c r="Y50" s="2">
        <f t="shared" si="4"/>
        <v>0.38256666666666667</v>
      </c>
    </row>
    <row r="51" spans="1:25" ht="14.65" thickBot="1" x14ac:dyDescent="0.5">
      <c r="A51">
        <v>24</v>
      </c>
      <c r="B51">
        <v>0.1137</v>
      </c>
      <c r="C51">
        <v>0.1145</v>
      </c>
      <c r="D51">
        <v>0.25669999999999998</v>
      </c>
      <c r="E51" s="12">
        <f t="shared" si="0"/>
        <v>0.16163333333333332</v>
      </c>
      <c r="F51">
        <v>24</v>
      </c>
      <c r="G51">
        <v>0.1673</v>
      </c>
      <c r="H51">
        <v>0.13850000000000001</v>
      </c>
      <c r="I51">
        <v>0.2399</v>
      </c>
      <c r="J51" s="12">
        <f t="shared" si="1"/>
        <v>0.18190000000000003</v>
      </c>
      <c r="K51">
        <v>24</v>
      </c>
      <c r="L51">
        <v>0.25130000000000002</v>
      </c>
      <c r="M51" s="14">
        <v>0.44750000000000001</v>
      </c>
      <c r="N51" s="14">
        <v>0.44629999999999997</v>
      </c>
      <c r="O51" s="12">
        <f t="shared" si="2"/>
        <v>0.38169999999999998</v>
      </c>
      <c r="P51">
        <v>24</v>
      </c>
      <c r="Q51">
        <v>0.27489999999999998</v>
      </c>
      <c r="R51">
        <v>0.49030000000000001</v>
      </c>
      <c r="S51">
        <v>0.56640000000000001</v>
      </c>
      <c r="T51" s="3">
        <f t="shared" si="3"/>
        <v>0.44386666666666663</v>
      </c>
      <c r="U51">
        <v>24</v>
      </c>
      <c r="V51">
        <v>0.50370000000000004</v>
      </c>
      <c r="W51">
        <v>0.4345</v>
      </c>
      <c r="X51">
        <v>0.46539999999999998</v>
      </c>
      <c r="Y51" s="3">
        <f t="shared" si="4"/>
        <v>0.46786666666666665</v>
      </c>
    </row>
    <row r="52" spans="1:25" ht="14.65" thickBot="1" x14ac:dyDescent="0.5"/>
    <row r="53" spans="1:25" x14ac:dyDescent="0.45">
      <c r="A53" t="s">
        <v>4</v>
      </c>
      <c r="B53" s="6" t="s">
        <v>31</v>
      </c>
      <c r="C53" t="s">
        <v>32</v>
      </c>
      <c r="D53" t="s">
        <v>33</v>
      </c>
      <c r="E53" s="1" t="s">
        <v>55</v>
      </c>
      <c r="F53" t="s">
        <v>4</v>
      </c>
      <c r="G53" t="s">
        <v>16</v>
      </c>
      <c r="H53" t="s">
        <v>17</v>
      </c>
      <c r="I53" t="s">
        <v>18</v>
      </c>
      <c r="J53" s="1" t="s">
        <v>34</v>
      </c>
      <c r="K53" t="s">
        <v>4</v>
      </c>
      <c r="L53" t="s">
        <v>0</v>
      </c>
      <c r="M53" t="s">
        <v>1</v>
      </c>
      <c r="N53" t="s">
        <v>2</v>
      </c>
      <c r="O53" s="5" t="s">
        <v>35</v>
      </c>
      <c r="P53" t="s">
        <v>4</v>
      </c>
      <c r="Q53" t="s">
        <v>19</v>
      </c>
      <c r="R53" t="s">
        <v>20</v>
      </c>
      <c r="S53" t="s">
        <v>21</v>
      </c>
      <c r="T53" s="5" t="s">
        <v>36</v>
      </c>
      <c r="U53" t="s">
        <v>4</v>
      </c>
      <c r="V53" t="s">
        <v>22</v>
      </c>
      <c r="W53" t="s">
        <v>23</v>
      </c>
      <c r="X53" t="s">
        <v>24</v>
      </c>
      <c r="Y53" s="5" t="s">
        <v>37</v>
      </c>
    </row>
    <row r="54" spans="1:25" x14ac:dyDescent="0.45">
      <c r="A54">
        <v>1</v>
      </c>
      <c r="B54" s="16">
        <v>0.1016</v>
      </c>
      <c r="C54" s="14">
        <v>0.1075</v>
      </c>
      <c r="D54" s="14">
        <v>0.1084</v>
      </c>
      <c r="E54" s="11">
        <f>AVERAGE(B54:D54)</f>
        <v>0.10583333333333333</v>
      </c>
      <c r="F54">
        <v>1</v>
      </c>
      <c r="G54" s="14">
        <v>0.1366</v>
      </c>
      <c r="H54" s="14">
        <v>0.15629999999999999</v>
      </c>
      <c r="I54" s="14">
        <v>0.16089999999999999</v>
      </c>
      <c r="J54" s="11">
        <f>AVERAGE(G54:I54)</f>
        <v>0.15126666666666666</v>
      </c>
      <c r="K54">
        <v>1</v>
      </c>
      <c r="L54">
        <v>0.1411</v>
      </c>
      <c r="M54">
        <v>0.15210000000000001</v>
      </c>
      <c r="N54">
        <v>0.16</v>
      </c>
      <c r="O54" s="2">
        <f>AVERAGE(L54:N54)</f>
        <v>0.15106666666666668</v>
      </c>
      <c r="P54">
        <v>1</v>
      </c>
      <c r="Q54" s="14">
        <v>0.1111</v>
      </c>
      <c r="R54" s="14">
        <v>0.1182</v>
      </c>
      <c r="S54" s="14">
        <v>0.1101</v>
      </c>
      <c r="T54" s="11">
        <f>AVERAGE(Q54:S54)</f>
        <v>0.11313333333333335</v>
      </c>
      <c r="U54">
        <v>1</v>
      </c>
      <c r="V54" s="14">
        <v>0.1128</v>
      </c>
      <c r="W54" s="14">
        <v>0.1197</v>
      </c>
      <c r="X54">
        <v>0.1145</v>
      </c>
      <c r="Y54" s="11">
        <f>AVERAGE(V54:X54)</f>
        <v>0.11566666666666665</v>
      </c>
    </row>
    <row r="55" spans="1:25" x14ac:dyDescent="0.45">
      <c r="A55">
        <v>2</v>
      </c>
      <c r="B55" s="7">
        <v>0.12520000000000001</v>
      </c>
      <c r="C55">
        <v>0.13100000000000001</v>
      </c>
      <c r="D55">
        <v>0.1323</v>
      </c>
      <c r="E55" s="2">
        <f t="shared" ref="E55:E77" si="5">AVERAGE(B55:D55)</f>
        <v>0.12949999999999998</v>
      </c>
      <c r="F55">
        <v>2</v>
      </c>
      <c r="G55">
        <v>0.1598</v>
      </c>
      <c r="H55">
        <v>0.15989999999999999</v>
      </c>
      <c r="I55">
        <v>0.1651</v>
      </c>
      <c r="J55" s="2">
        <f t="shared" ref="J55:J77" si="6">AVERAGE(G55:I55)</f>
        <v>0.16159999999999999</v>
      </c>
      <c r="K55">
        <v>2</v>
      </c>
      <c r="L55" s="14">
        <v>0.1326</v>
      </c>
      <c r="M55" s="14">
        <v>0.13769999999999999</v>
      </c>
      <c r="N55" s="17">
        <v>0.13389999999999999</v>
      </c>
      <c r="O55" s="11">
        <f t="shared" ref="O55:O77" si="7">AVERAGE(L55:N55)</f>
        <v>0.13473333333333334</v>
      </c>
      <c r="P55">
        <v>2</v>
      </c>
      <c r="Q55">
        <v>0.1198</v>
      </c>
      <c r="R55">
        <v>0.1216</v>
      </c>
      <c r="S55">
        <v>0.1153</v>
      </c>
      <c r="T55" s="2">
        <f t="shared" ref="T55:T77" si="8">AVERAGE(Q55:S55)</f>
        <v>0.11890000000000001</v>
      </c>
      <c r="U55">
        <v>2</v>
      </c>
      <c r="V55">
        <v>0.1222</v>
      </c>
      <c r="W55">
        <v>0.13020000000000001</v>
      </c>
      <c r="X55">
        <v>0.12559999999999999</v>
      </c>
      <c r="Y55" s="2">
        <f t="shared" ref="Y55:Y77" si="9">AVERAGE(V55:X55)</f>
        <v>0.126</v>
      </c>
    </row>
    <row r="56" spans="1:25" x14ac:dyDescent="0.45">
      <c r="A56">
        <v>3</v>
      </c>
      <c r="B56" s="7">
        <v>0.154</v>
      </c>
      <c r="C56">
        <v>0.14419999999999999</v>
      </c>
      <c r="D56">
        <v>0.17419999999999999</v>
      </c>
      <c r="E56" s="2">
        <f t="shared" si="5"/>
        <v>0.15746666666666667</v>
      </c>
      <c r="F56">
        <v>3</v>
      </c>
      <c r="G56">
        <v>0.1739</v>
      </c>
      <c r="H56">
        <v>0.17469999999999999</v>
      </c>
      <c r="I56">
        <v>0.17979999999999999</v>
      </c>
      <c r="J56" s="2">
        <f t="shared" si="6"/>
        <v>0.17613333333333334</v>
      </c>
      <c r="K56">
        <v>3</v>
      </c>
      <c r="L56">
        <v>0.13589999999999999</v>
      </c>
      <c r="M56">
        <v>0.1421</v>
      </c>
      <c r="N56">
        <v>0.13539999999999999</v>
      </c>
      <c r="O56" s="2">
        <f t="shared" si="7"/>
        <v>0.13780000000000001</v>
      </c>
      <c r="P56">
        <v>3</v>
      </c>
      <c r="Q56">
        <v>0.12809999999999999</v>
      </c>
      <c r="R56">
        <v>0.1431</v>
      </c>
      <c r="S56">
        <v>0.1249</v>
      </c>
      <c r="T56" s="2">
        <f t="shared" si="8"/>
        <v>0.13203333333333334</v>
      </c>
      <c r="U56">
        <v>3</v>
      </c>
      <c r="V56">
        <v>0.1326</v>
      </c>
      <c r="W56">
        <v>0.13220000000000001</v>
      </c>
      <c r="X56">
        <v>0.1401</v>
      </c>
      <c r="Y56" s="2">
        <f t="shared" si="9"/>
        <v>0.13496666666666668</v>
      </c>
    </row>
    <row r="57" spans="1:25" x14ac:dyDescent="0.45">
      <c r="A57">
        <v>4</v>
      </c>
      <c r="B57" s="7">
        <v>0.15440000000000001</v>
      </c>
      <c r="C57">
        <v>0.15609999999999999</v>
      </c>
      <c r="D57">
        <v>0.16500000000000001</v>
      </c>
      <c r="E57" s="2">
        <f t="shared" si="5"/>
        <v>0.1585</v>
      </c>
      <c r="F57">
        <v>4</v>
      </c>
      <c r="G57">
        <v>0.193</v>
      </c>
      <c r="H57">
        <v>0.19139999999999999</v>
      </c>
      <c r="I57">
        <v>0.2049</v>
      </c>
      <c r="J57" s="2">
        <f t="shared" si="6"/>
        <v>0.19643333333333332</v>
      </c>
      <c r="K57">
        <v>4</v>
      </c>
      <c r="L57">
        <v>0.14849999999999999</v>
      </c>
      <c r="M57">
        <v>0.15049999999999999</v>
      </c>
      <c r="N57">
        <v>0.14380000000000001</v>
      </c>
      <c r="O57" s="2">
        <f t="shared" si="7"/>
        <v>0.14759999999999998</v>
      </c>
      <c r="P57">
        <v>4</v>
      </c>
      <c r="Q57">
        <v>0.1303</v>
      </c>
      <c r="R57">
        <v>0.13950000000000001</v>
      </c>
      <c r="S57">
        <v>0.1386</v>
      </c>
      <c r="T57" s="2">
        <f t="shared" si="8"/>
        <v>0.13613333333333336</v>
      </c>
      <c r="U57">
        <v>4</v>
      </c>
      <c r="V57">
        <v>0.14299999999999999</v>
      </c>
      <c r="W57">
        <v>0.15540000000000001</v>
      </c>
      <c r="X57">
        <v>0.14649999999999999</v>
      </c>
      <c r="Y57" s="2">
        <f t="shared" si="9"/>
        <v>0.14829999999999999</v>
      </c>
    </row>
    <row r="58" spans="1:25" x14ac:dyDescent="0.45">
      <c r="A58">
        <v>5</v>
      </c>
      <c r="B58" s="7">
        <v>0.1915</v>
      </c>
      <c r="C58">
        <v>0.1913</v>
      </c>
      <c r="D58">
        <v>0.1714</v>
      </c>
      <c r="E58" s="2">
        <f t="shared" si="5"/>
        <v>0.18473333333333333</v>
      </c>
      <c r="F58">
        <v>5</v>
      </c>
      <c r="G58">
        <v>0.20419999999999999</v>
      </c>
      <c r="H58">
        <v>0.20250000000000001</v>
      </c>
      <c r="I58">
        <v>0.21390000000000001</v>
      </c>
      <c r="J58" s="2">
        <f t="shared" si="6"/>
        <v>0.20686666666666667</v>
      </c>
      <c r="K58">
        <v>5</v>
      </c>
      <c r="L58">
        <v>0.15040000000000001</v>
      </c>
      <c r="M58">
        <v>0.1547</v>
      </c>
      <c r="N58">
        <v>0.1462</v>
      </c>
      <c r="O58" s="2">
        <f t="shared" si="7"/>
        <v>0.15043333333333334</v>
      </c>
      <c r="P58">
        <v>5</v>
      </c>
      <c r="Q58">
        <v>0.14949999999999999</v>
      </c>
      <c r="R58">
        <v>0.1658</v>
      </c>
      <c r="S58">
        <v>0.14419999999999999</v>
      </c>
      <c r="T58" s="2">
        <f t="shared" si="8"/>
        <v>0.15316666666666667</v>
      </c>
      <c r="U58">
        <v>5</v>
      </c>
      <c r="V58">
        <v>0.1469</v>
      </c>
      <c r="W58">
        <v>0.15340000000000001</v>
      </c>
      <c r="X58">
        <v>0.161</v>
      </c>
      <c r="Y58" s="2">
        <f t="shared" si="9"/>
        <v>0.15376666666666669</v>
      </c>
    </row>
    <row r="59" spans="1:25" x14ac:dyDescent="0.45">
      <c r="A59">
        <v>6</v>
      </c>
      <c r="B59" s="7">
        <v>0.16539999999999999</v>
      </c>
      <c r="C59">
        <v>0.18659999999999999</v>
      </c>
      <c r="D59">
        <v>0.17610000000000001</v>
      </c>
      <c r="E59" s="2">
        <f t="shared" si="5"/>
        <v>0.17603333333333335</v>
      </c>
      <c r="F59">
        <v>6</v>
      </c>
      <c r="G59">
        <v>0.21740000000000001</v>
      </c>
      <c r="H59">
        <v>0.21990000000000001</v>
      </c>
      <c r="I59">
        <v>0.2263</v>
      </c>
      <c r="J59" s="2">
        <f t="shared" si="6"/>
        <v>0.22119999999999998</v>
      </c>
      <c r="K59">
        <v>6</v>
      </c>
      <c r="L59">
        <v>0.16189999999999999</v>
      </c>
      <c r="M59">
        <v>0.1585</v>
      </c>
      <c r="N59">
        <v>0.15989999999999999</v>
      </c>
      <c r="O59" s="2">
        <f t="shared" si="7"/>
        <v>0.16009999999999999</v>
      </c>
      <c r="P59">
        <v>6</v>
      </c>
      <c r="Q59">
        <v>0.15840000000000001</v>
      </c>
      <c r="R59">
        <v>0.16120000000000001</v>
      </c>
      <c r="S59">
        <v>0.14990000000000001</v>
      </c>
      <c r="T59" s="2">
        <f t="shared" si="8"/>
        <v>0.1565</v>
      </c>
      <c r="U59">
        <v>6</v>
      </c>
      <c r="V59">
        <v>0.15179999999999999</v>
      </c>
      <c r="W59">
        <v>0.16600000000000001</v>
      </c>
      <c r="X59">
        <v>0.21299999999999999</v>
      </c>
      <c r="Y59" s="2">
        <f t="shared" si="9"/>
        <v>0.1769333333333333</v>
      </c>
    </row>
    <row r="60" spans="1:25" x14ac:dyDescent="0.45">
      <c r="A60">
        <v>7</v>
      </c>
      <c r="B60" s="7">
        <v>0.17560000000000001</v>
      </c>
      <c r="C60">
        <v>0.18770000000000001</v>
      </c>
      <c r="D60">
        <v>0.18790000000000001</v>
      </c>
      <c r="E60" s="2">
        <f t="shared" si="5"/>
        <v>0.18373333333333333</v>
      </c>
      <c r="F60">
        <v>7</v>
      </c>
      <c r="G60">
        <v>0.24060000000000001</v>
      </c>
      <c r="H60">
        <v>0.22450000000000001</v>
      </c>
      <c r="I60">
        <v>0.23569999999999999</v>
      </c>
      <c r="J60" s="2">
        <f t="shared" si="6"/>
        <v>0.2336</v>
      </c>
      <c r="K60">
        <v>7</v>
      </c>
      <c r="L60">
        <v>0.17460000000000001</v>
      </c>
      <c r="M60">
        <v>0.1787</v>
      </c>
      <c r="N60">
        <v>0.17549999999999999</v>
      </c>
      <c r="O60" s="2">
        <f t="shared" si="7"/>
        <v>0.17626666666666665</v>
      </c>
      <c r="P60">
        <v>7</v>
      </c>
      <c r="Q60">
        <v>0.17510000000000001</v>
      </c>
      <c r="R60">
        <v>0.17399999999999999</v>
      </c>
      <c r="S60">
        <v>0.15989999999999999</v>
      </c>
      <c r="T60" s="2">
        <f t="shared" si="8"/>
        <v>0.16966666666666663</v>
      </c>
      <c r="U60">
        <v>7</v>
      </c>
      <c r="V60">
        <v>0.16980000000000001</v>
      </c>
      <c r="W60">
        <v>0.16259999999999999</v>
      </c>
      <c r="X60">
        <v>0.1691</v>
      </c>
      <c r="Y60" s="2">
        <f t="shared" si="9"/>
        <v>0.16716666666666669</v>
      </c>
    </row>
    <row r="61" spans="1:25" x14ac:dyDescent="0.45">
      <c r="A61">
        <v>8</v>
      </c>
      <c r="B61" s="7">
        <v>0.1893</v>
      </c>
      <c r="C61">
        <v>0.17510000000000001</v>
      </c>
      <c r="D61">
        <v>0.1515</v>
      </c>
      <c r="E61" s="2">
        <f t="shared" si="5"/>
        <v>0.17196666666666668</v>
      </c>
      <c r="F61">
        <v>8</v>
      </c>
      <c r="G61">
        <v>0.27489999999999998</v>
      </c>
      <c r="H61">
        <v>0.27910000000000001</v>
      </c>
      <c r="I61">
        <v>0.26979999999999998</v>
      </c>
      <c r="J61" s="2">
        <f t="shared" si="6"/>
        <v>0.27460000000000001</v>
      </c>
      <c r="K61">
        <v>8</v>
      </c>
      <c r="L61">
        <v>0.18160000000000001</v>
      </c>
      <c r="M61">
        <v>0.18709999999999999</v>
      </c>
      <c r="N61">
        <v>0.17860000000000001</v>
      </c>
      <c r="O61" s="2">
        <f t="shared" si="7"/>
        <v>0.18243333333333334</v>
      </c>
      <c r="P61">
        <v>8</v>
      </c>
      <c r="Q61">
        <v>0.16589999999999999</v>
      </c>
      <c r="R61">
        <v>0.15310000000000001</v>
      </c>
      <c r="S61">
        <v>0.16689999999999999</v>
      </c>
      <c r="T61" s="2">
        <f t="shared" si="8"/>
        <v>0.16196666666666668</v>
      </c>
      <c r="U61">
        <v>8</v>
      </c>
      <c r="V61">
        <v>0.19400000000000001</v>
      </c>
      <c r="W61">
        <v>0.18090000000000001</v>
      </c>
      <c r="X61">
        <v>0.19439999999999999</v>
      </c>
      <c r="Y61" s="2">
        <f t="shared" si="9"/>
        <v>0.18976666666666667</v>
      </c>
    </row>
    <row r="62" spans="1:25" x14ac:dyDescent="0.45">
      <c r="A62">
        <v>9</v>
      </c>
      <c r="B62" s="7">
        <v>0.17399999999999999</v>
      </c>
      <c r="C62">
        <v>0.15659999999999999</v>
      </c>
      <c r="D62">
        <v>0.1847</v>
      </c>
      <c r="E62" s="2">
        <f t="shared" si="5"/>
        <v>0.17176666666666665</v>
      </c>
      <c r="F62">
        <v>9</v>
      </c>
      <c r="G62">
        <v>0.2833</v>
      </c>
      <c r="H62">
        <v>0.28499999999999998</v>
      </c>
      <c r="I62">
        <v>0.29870000000000002</v>
      </c>
      <c r="J62" s="2">
        <f t="shared" si="6"/>
        <v>0.28899999999999998</v>
      </c>
      <c r="K62">
        <v>9</v>
      </c>
      <c r="L62">
        <v>0.19040000000000001</v>
      </c>
      <c r="M62">
        <v>0.19489999999999999</v>
      </c>
      <c r="N62">
        <v>0.20280000000000001</v>
      </c>
      <c r="O62" s="2">
        <f t="shared" si="7"/>
        <v>0.19603333333333331</v>
      </c>
      <c r="P62">
        <v>9</v>
      </c>
      <c r="Q62">
        <v>0.186</v>
      </c>
      <c r="R62">
        <v>0.158</v>
      </c>
      <c r="S62">
        <v>0.19389999999999999</v>
      </c>
      <c r="T62" s="2">
        <f t="shared" si="8"/>
        <v>0.17929999999999999</v>
      </c>
      <c r="U62">
        <v>9</v>
      </c>
      <c r="V62">
        <v>0.18099999999999999</v>
      </c>
      <c r="W62">
        <v>0.21790000000000001</v>
      </c>
      <c r="X62">
        <v>0.2046</v>
      </c>
      <c r="Y62" s="2">
        <f t="shared" si="9"/>
        <v>0.20116666666666669</v>
      </c>
    </row>
    <row r="63" spans="1:25" x14ac:dyDescent="0.45">
      <c r="A63">
        <v>10</v>
      </c>
      <c r="B63" s="7">
        <v>0.1762</v>
      </c>
      <c r="C63">
        <v>0.16700000000000001</v>
      </c>
      <c r="D63">
        <v>0.1777</v>
      </c>
      <c r="E63" s="2">
        <f t="shared" si="5"/>
        <v>0.17363333333333333</v>
      </c>
      <c r="F63">
        <v>10</v>
      </c>
      <c r="G63">
        <v>0.30869999999999997</v>
      </c>
      <c r="H63">
        <v>0.30309999999999998</v>
      </c>
      <c r="I63">
        <v>0.31580000000000003</v>
      </c>
      <c r="J63" s="2">
        <f t="shared" si="6"/>
        <v>0.30919999999999997</v>
      </c>
      <c r="K63">
        <v>10</v>
      </c>
      <c r="L63">
        <v>0.2014</v>
      </c>
      <c r="M63">
        <v>0.22209999999999999</v>
      </c>
      <c r="N63">
        <v>0.218</v>
      </c>
      <c r="O63" s="2">
        <f t="shared" si="7"/>
        <v>0.21383333333333332</v>
      </c>
      <c r="P63">
        <v>10</v>
      </c>
      <c r="Q63">
        <v>0.192</v>
      </c>
      <c r="R63">
        <v>0.20300000000000001</v>
      </c>
      <c r="S63">
        <v>0.2082</v>
      </c>
      <c r="T63" s="2">
        <f t="shared" si="8"/>
        <v>0.20106666666666664</v>
      </c>
      <c r="U63">
        <v>10</v>
      </c>
      <c r="V63">
        <v>0.191</v>
      </c>
      <c r="W63">
        <v>0.19409999999999999</v>
      </c>
      <c r="X63">
        <v>0.2079</v>
      </c>
      <c r="Y63" s="2">
        <f t="shared" si="9"/>
        <v>0.19766666666666666</v>
      </c>
    </row>
    <row r="64" spans="1:25" x14ac:dyDescent="0.45">
      <c r="A64">
        <v>11</v>
      </c>
      <c r="B64" s="7">
        <v>0.17469999999999999</v>
      </c>
      <c r="C64">
        <v>0.182</v>
      </c>
      <c r="D64">
        <v>0.1946</v>
      </c>
      <c r="E64" s="2">
        <f t="shared" si="5"/>
        <v>0.18376666666666666</v>
      </c>
      <c r="F64">
        <v>11</v>
      </c>
      <c r="G64">
        <v>0.32750000000000001</v>
      </c>
      <c r="H64">
        <v>0.30580000000000002</v>
      </c>
      <c r="I64">
        <v>0.33</v>
      </c>
      <c r="J64" s="2">
        <f t="shared" si="6"/>
        <v>0.3211</v>
      </c>
      <c r="K64">
        <v>11</v>
      </c>
      <c r="L64">
        <v>0.22819999999999999</v>
      </c>
      <c r="M64">
        <v>0.22409999999999999</v>
      </c>
      <c r="N64">
        <v>0.23</v>
      </c>
      <c r="O64" s="2">
        <f t="shared" si="7"/>
        <v>0.22743333333333335</v>
      </c>
      <c r="P64">
        <v>11</v>
      </c>
      <c r="Q64">
        <v>0.1852</v>
      </c>
      <c r="R64">
        <v>0.19040000000000001</v>
      </c>
      <c r="S64">
        <v>0.18540000000000001</v>
      </c>
      <c r="T64" s="2">
        <f t="shared" si="8"/>
        <v>0.18700000000000003</v>
      </c>
      <c r="U64">
        <v>11</v>
      </c>
      <c r="V64">
        <v>0.19289999999999999</v>
      </c>
      <c r="W64">
        <v>0.21129999999999999</v>
      </c>
      <c r="X64">
        <v>0.19800000000000001</v>
      </c>
      <c r="Y64" s="2">
        <f t="shared" si="9"/>
        <v>0.20073333333333335</v>
      </c>
    </row>
    <row r="65" spans="1:25" x14ac:dyDescent="0.45">
      <c r="A65">
        <v>12</v>
      </c>
      <c r="B65" s="7">
        <v>0.1875</v>
      </c>
      <c r="C65">
        <v>0.1744</v>
      </c>
      <c r="D65">
        <v>0.17630000000000001</v>
      </c>
      <c r="E65" s="2">
        <f t="shared" si="5"/>
        <v>0.1794</v>
      </c>
      <c r="F65">
        <v>12</v>
      </c>
      <c r="G65">
        <v>0.33239999999999997</v>
      </c>
      <c r="H65">
        <v>0.33040000000000003</v>
      </c>
      <c r="I65">
        <v>0.38090000000000002</v>
      </c>
      <c r="J65" s="11">
        <f t="shared" si="6"/>
        <v>0.34790000000000004</v>
      </c>
      <c r="K65">
        <v>12</v>
      </c>
      <c r="L65">
        <v>0.2382</v>
      </c>
      <c r="M65">
        <v>0.25009999999999999</v>
      </c>
      <c r="N65">
        <v>0.2374</v>
      </c>
      <c r="O65" s="2">
        <f t="shared" si="7"/>
        <v>0.2419</v>
      </c>
      <c r="P65">
        <v>12</v>
      </c>
      <c r="Q65">
        <v>0.1983</v>
      </c>
      <c r="R65">
        <v>0.22120000000000001</v>
      </c>
      <c r="S65">
        <v>0.2324</v>
      </c>
      <c r="T65" s="2">
        <f t="shared" si="8"/>
        <v>0.21729999999999997</v>
      </c>
      <c r="U65">
        <v>12</v>
      </c>
      <c r="V65">
        <v>0.1938</v>
      </c>
      <c r="W65">
        <v>0.21609999999999999</v>
      </c>
      <c r="X65">
        <v>0.217</v>
      </c>
      <c r="Y65" s="2">
        <f t="shared" si="9"/>
        <v>0.20896666666666666</v>
      </c>
    </row>
    <row r="66" spans="1:25" x14ac:dyDescent="0.45">
      <c r="A66">
        <v>13</v>
      </c>
      <c r="B66" s="7">
        <v>0.2167</v>
      </c>
      <c r="C66">
        <v>0.19969999999999999</v>
      </c>
      <c r="D66">
        <v>0.1857</v>
      </c>
      <c r="E66" s="2">
        <f t="shared" si="5"/>
        <v>0.20069999999999999</v>
      </c>
      <c r="F66">
        <v>13</v>
      </c>
      <c r="G66" s="14">
        <v>0.34610000000000002</v>
      </c>
      <c r="H66" s="14">
        <v>0.35780000000000001</v>
      </c>
      <c r="I66">
        <v>0.4108</v>
      </c>
      <c r="J66" s="2">
        <f t="shared" si="6"/>
        <v>0.37156666666666666</v>
      </c>
      <c r="K66">
        <v>13</v>
      </c>
      <c r="L66">
        <v>0.23760000000000001</v>
      </c>
      <c r="M66">
        <v>0.26219999999999999</v>
      </c>
      <c r="N66">
        <v>0.25440000000000002</v>
      </c>
      <c r="O66" s="2">
        <f t="shared" si="7"/>
        <v>0.25140000000000001</v>
      </c>
      <c r="P66">
        <v>13</v>
      </c>
      <c r="Q66">
        <v>0.21540000000000001</v>
      </c>
      <c r="R66">
        <v>0.218</v>
      </c>
      <c r="S66">
        <v>0.25480000000000003</v>
      </c>
      <c r="T66" s="2">
        <f t="shared" si="8"/>
        <v>0.22940000000000002</v>
      </c>
      <c r="U66">
        <v>13</v>
      </c>
      <c r="V66">
        <v>0.22</v>
      </c>
      <c r="W66">
        <v>0.2051</v>
      </c>
      <c r="X66">
        <v>0.2281</v>
      </c>
      <c r="Y66" s="2">
        <f t="shared" si="9"/>
        <v>0.21773333333333333</v>
      </c>
    </row>
    <row r="67" spans="1:25" x14ac:dyDescent="0.45">
      <c r="A67">
        <v>14</v>
      </c>
      <c r="B67" s="7">
        <v>0.1731</v>
      </c>
      <c r="C67" s="14">
        <v>0.20030000000000001</v>
      </c>
      <c r="D67">
        <v>0.19400000000000001</v>
      </c>
      <c r="E67" s="2">
        <f t="shared" si="5"/>
        <v>0.18913333333333335</v>
      </c>
      <c r="F67">
        <v>14</v>
      </c>
      <c r="G67">
        <v>0.34889999999999999</v>
      </c>
      <c r="H67">
        <v>0.36230000000000001</v>
      </c>
      <c r="I67">
        <v>0.43030000000000002</v>
      </c>
      <c r="J67" s="2">
        <f t="shared" si="6"/>
        <v>0.38050000000000006</v>
      </c>
      <c r="K67">
        <v>14</v>
      </c>
      <c r="L67" s="14">
        <v>0.26960000000000001</v>
      </c>
      <c r="M67" s="14">
        <v>0.26119999999999999</v>
      </c>
      <c r="N67">
        <v>0.2802</v>
      </c>
      <c r="O67" s="2">
        <f t="shared" si="7"/>
        <v>0.27033333333333331</v>
      </c>
      <c r="P67">
        <v>14</v>
      </c>
      <c r="Q67">
        <v>0.21990000000000001</v>
      </c>
      <c r="R67">
        <v>0.24340000000000001</v>
      </c>
      <c r="S67">
        <v>0.26829999999999998</v>
      </c>
      <c r="T67" s="2">
        <f t="shared" si="8"/>
        <v>0.24386666666666668</v>
      </c>
      <c r="U67">
        <v>14</v>
      </c>
      <c r="V67">
        <v>0.21460000000000001</v>
      </c>
      <c r="W67">
        <v>0.2051</v>
      </c>
      <c r="X67">
        <v>0.25800000000000001</v>
      </c>
      <c r="Y67" s="2">
        <f t="shared" si="9"/>
        <v>0.22589999999999999</v>
      </c>
    </row>
    <row r="68" spans="1:25" x14ac:dyDescent="0.45">
      <c r="A68">
        <v>15</v>
      </c>
      <c r="B68" s="7">
        <v>0.17130000000000001</v>
      </c>
      <c r="C68">
        <v>0.17299999999999999</v>
      </c>
      <c r="D68" s="14">
        <v>0.21290000000000001</v>
      </c>
      <c r="E68" s="2">
        <f t="shared" si="5"/>
        <v>0.18573333333333333</v>
      </c>
      <c r="F68">
        <v>15</v>
      </c>
      <c r="G68">
        <v>0.34470000000000001</v>
      </c>
      <c r="H68">
        <v>0.36159999999999998</v>
      </c>
      <c r="I68">
        <v>0.45250000000000001</v>
      </c>
      <c r="J68" s="2">
        <f t="shared" si="6"/>
        <v>0.38626666666666659</v>
      </c>
      <c r="K68">
        <v>15</v>
      </c>
      <c r="L68">
        <v>0.27529999999999999</v>
      </c>
      <c r="M68">
        <v>0.27960000000000002</v>
      </c>
      <c r="N68">
        <v>0.2727</v>
      </c>
      <c r="O68" s="2">
        <f t="shared" si="7"/>
        <v>0.27586666666666665</v>
      </c>
      <c r="P68">
        <v>15</v>
      </c>
      <c r="Q68" s="14">
        <v>0.2419</v>
      </c>
      <c r="R68" s="14">
        <v>0.25309999999999999</v>
      </c>
      <c r="S68" s="14">
        <v>0.2717</v>
      </c>
      <c r="T68" s="11">
        <f t="shared" si="8"/>
        <v>0.25556666666666666</v>
      </c>
      <c r="U68">
        <v>15</v>
      </c>
      <c r="V68">
        <v>0.2185</v>
      </c>
      <c r="W68">
        <v>0.24229999999999999</v>
      </c>
      <c r="X68">
        <v>0.25650000000000001</v>
      </c>
      <c r="Y68" s="11">
        <f t="shared" si="9"/>
        <v>0.23910000000000001</v>
      </c>
    </row>
    <row r="69" spans="1:25" x14ac:dyDescent="0.45">
      <c r="A69">
        <v>16</v>
      </c>
      <c r="B69" s="16">
        <v>0.20810000000000001</v>
      </c>
      <c r="C69">
        <v>0.21029999999999999</v>
      </c>
      <c r="D69">
        <v>0.1595</v>
      </c>
      <c r="E69" s="2">
        <f t="shared" si="5"/>
        <v>0.19263333333333332</v>
      </c>
      <c r="F69">
        <v>16</v>
      </c>
      <c r="G69">
        <v>0.35220000000000001</v>
      </c>
      <c r="H69">
        <v>0.35880000000000001</v>
      </c>
      <c r="I69">
        <v>0.44230000000000003</v>
      </c>
      <c r="J69" s="2">
        <f t="shared" si="6"/>
        <v>0.3844333333333334</v>
      </c>
      <c r="K69">
        <v>16</v>
      </c>
      <c r="L69">
        <v>0.26529999999999998</v>
      </c>
      <c r="M69">
        <v>0.30349999999999999</v>
      </c>
      <c r="N69">
        <v>0.31240000000000001</v>
      </c>
      <c r="O69" s="2">
        <f t="shared" si="7"/>
        <v>0.29373333333333335</v>
      </c>
      <c r="P69">
        <v>16</v>
      </c>
      <c r="Q69">
        <v>0.25319999999999998</v>
      </c>
      <c r="R69">
        <v>0.2676</v>
      </c>
      <c r="S69">
        <v>0.35589999999999999</v>
      </c>
      <c r="T69" s="2">
        <f t="shared" si="8"/>
        <v>0.29223333333333329</v>
      </c>
      <c r="U69">
        <v>16</v>
      </c>
      <c r="V69">
        <v>0.23769999999999999</v>
      </c>
      <c r="W69">
        <v>0.23580000000000001</v>
      </c>
      <c r="X69">
        <v>0.24740000000000001</v>
      </c>
      <c r="Y69" s="2">
        <f t="shared" si="9"/>
        <v>0.24030000000000004</v>
      </c>
    </row>
    <row r="70" spans="1:25" x14ac:dyDescent="0.45">
      <c r="A70">
        <v>17</v>
      </c>
      <c r="B70" s="7">
        <v>0.21590000000000001</v>
      </c>
      <c r="C70">
        <v>0.1918</v>
      </c>
      <c r="D70">
        <v>0.18740000000000001</v>
      </c>
      <c r="E70" s="2">
        <f t="shared" si="5"/>
        <v>0.19836666666666666</v>
      </c>
      <c r="F70">
        <v>17</v>
      </c>
      <c r="G70">
        <v>0.379</v>
      </c>
      <c r="H70">
        <v>0.34789999999999999</v>
      </c>
      <c r="I70">
        <v>0.41310000000000002</v>
      </c>
      <c r="J70" s="2">
        <f t="shared" si="6"/>
        <v>0.38000000000000006</v>
      </c>
      <c r="K70">
        <v>17</v>
      </c>
      <c r="L70">
        <v>0.26600000000000001</v>
      </c>
      <c r="M70">
        <v>0.29780000000000001</v>
      </c>
      <c r="N70">
        <v>0.31830000000000003</v>
      </c>
      <c r="O70" s="2">
        <f t="shared" si="7"/>
        <v>0.29403333333333337</v>
      </c>
      <c r="P70">
        <v>17</v>
      </c>
      <c r="Q70">
        <v>0.25829999999999997</v>
      </c>
      <c r="R70">
        <v>0.25779999999999997</v>
      </c>
      <c r="S70">
        <v>0.31130000000000002</v>
      </c>
      <c r="T70" s="2">
        <f t="shared" si="8"/>
        <v>0.27579999999999999</v>
      </c>
      <c r="U70">
        <v>17</v>
      </c>
      <c r="V70" s="14">
        <v>0.24510000000000001</v>
      </c>
      <c r="W70">
        <v>0.23530000000000001</v>
      </c>
      <c r="X70">
        <v>0.31900000000000001</v>
      </c>
      <c r="Y70" s="2">
        <f t="shared" si="9"/>
        <v>0.26646666666666668</v>
      </c>
    </row>
    <row r="71" spans="1:25" x14ac:dyDescent="0.45">
      <c r="A71">
        <v>18</v>
      </c>
      <c r="B71" s="7">
        <v>0.20319999999999999</v>
      </c>
      <c r="C71">
        <v>0.22739999999999999</v>
      </c>
      <c r="D71">
        <v>0.26219999999999999</v>
      </c>
      <c r="E71" s="2">
        <f t="shared" si="5"/>
        <v>0.23093333333333332</v>
      </c>
      <c r="F71">
        <v>18</v>
      </c>
      <c r="G71">
        <v>0.32319999999999999</v>
      </c>
      <c r="H71">
        <v>0.3548</v>
      </c>
      <c r="I71">
        <v>0.4108</v>
      </c>
      <c r="J71" s="2">
        <f t="shared" si="6"/>
        <v>0.36293333333333333</v>
      </c>
      <c r="K71">
        <v>18</v>
      </c>
      <c r="L71">
        <v>0.26869999999999999</v>
      </c>
      <c r="M71">
        <v>0.31869999999999998</v>
      </c>
      <c r="N71">
        <v>0.23680000000000001</v>
      </c>
      <c r="O71" s="2">
        <f t="shared" si="7"/>
        <v>0.27473333333333333</v>
      </c>
      <c r="P71">
        <v>18</v>
      </c>
      <c r="Q71">
        <v>0.2417</v>
      </c>
      <c r="R71">
        <v>0.27800000000000002</v>
      </c>
      <c r="S71">
        <v>0.37609999999999999</v>
      </c>
      <c r="T71" s="2">
        <f t="shared" si="8"/>
        <v>0.29860000000000003</v>
      </c>
      <c r="U71">
        <v>18</v>
      </c>
      <c r="V71">
        <v>0.2379</v>
      </c>
      <c r="W71">
        <v>0.23630000000000001</v>
      </c>
      <c r="X71">
        <v>0.3196</v>
      </c>
      <c r="Y71" s="2">
        <f t="shared" si="9"/>
        <v>0.2646</v>
      </c>
    </row>
    <row r="72" spans="1:25" x14ac:dyDescent="0.45">
      <c r="A72">
        <v>19</v>
      </c>
      <c r="B72" s="7">
        <v>0.1943</v>
      </c>
      <c r="C72">
        <v>0.2089</v>
      </c>
      <c r="D72">
        <v>0.23069999999999999</v>
      </c>
      <c r="E72" s="2">
        <f t="shared" si="5"/>
        <v>0.21130000000000002</v>
      </c>
      <c r="F72">
        <v>19</v>
      </c>
      <c r="G72">
        <v>0.3367</v>
      </c>
      <c r="H72">
        <v>0.3619</v>
      </c>
      <c r="I72">
        <v>0.39229999999999998</v>
      </c>
      <c r="J72" s="2">
        <f t="shared" si="6"/>
        <v>0.36363333333333331</v>
      </c>
      <c r="K72">
        <v>19</v>
      </c>
      <c r="L72">
        <v>0.26169999999999999</v>
      </c>
      <c r="M72">
        <v>0.32100000000000001</v>
      </c>
      <c r="N72">
        <v>0.36020000000000002</v>
      </c>
      <c r="O72" s="2">
        <f t="shared" si="7"/>
        <v>0.31430000000000002</v>
      </c>
      <c r="P72">
        <v>19</v>
      </c>
      <c r="Q72">
        <v>0.2641</v>
      </c>
      <c r="R72">
        <v>0.29149999999999998</v>
      </c>
      <c r="S72">
        <v>0.3392</v>
      </c>
      <c r="T72" s="2">
        <f t="shared" si="8"/>
        <v>0.29826666666666668</v>
      </c>
      <c r="U72">
        <v>19</v>
      </c>
      <c r="V72">
        <v>0.23599999999999999</v>
      </c>
      <c r="W72">
        <v>0.2364</v>
      </c>
      <c r="X72">
        <v>0.31240000000000001</v>
      </c>
      <c r="Y72" s="2">
        <f t="shared" si="9"/>
        <v>0.2616</v>
      </c>
    </row>
    <row r="73" spans="1:25" x14ac:dyDescent="0.45">
      <c r="A73">
        <v>20</v>
      </c>
      <c r="B73" s="7">
        <v>0.19439999999999999</v>
      </c>
      <c r="C73">
        <v>0.21709999999999999</v>
      </c>
      <c r="D73">
        <v>0.22409999999999999</v>
      </c>
      <c r="E73" s="2">
        <f t="shared" si="5"/>
        <v>0.21186666666666665</v>
      </c>
      <c r="F73">
        <v>20</v>
      </c>
      <c r="G73">
        <v>0.35770000000000002</v>
      </c>
      <c r="H73">
        <v>0.35270000000000001</v>
      </c>
      <c r="I73">
        <v>0.36859999999999998</v>
      </c>
      <c r="J73" s="2">
        <f t="shared" si="6"/>
        <v>0.35966666666666663</v>
      </c>
      <c r="K73">
        <v>20</v>
      </c>
      <c r="L73">
        <v>0.2802</v>
      </c>
      <c r="M73">
        <v>0.32900000000000001</v>
      </c>
      <c r="N73">
        <v>0.39029999999999998</v>
      </c>
      <c r="O73" s="11">
        <f t="shared" si="7"/>
        <v>0.33316666666666667</v>
      </c>
      <c r="P73">
        <v>20</v>
      </c>
      <c r="Q73">
        <v>0.26240000000000002</v>
      </c>
      <c r="R73">
        <v>0.28760000000000002</v>
      </c>
      <c r="S73">
        <v>0.36420000000000002</v>
      </c>
      <c r="T73" s="2">
        <f t="shared" si="8"/>
        <v>0.30473333333333336</v>
      </c>
      <c r="U73">
        <v>20</v>
      </c>
      <c r="V73">
        <v>0.23580000000000001</v>
      </c>
      <c r="W73">
        <v>0.25159999999999999</v>
      </c>
      <c r="X73">
        <v>0.33660000000000001</v>
      </c>
      <c r="Y73" s="2">
        <f t="shared" si="9"/>
        <v>0.27466666666666667</v>
      </c>
    </row>
    <row r="74" spans="1:25" x14ac:dyDescent="0.45">
      <c r="A74">
        <v>21</v>
      </c>
      <c r="B74" s="7">
        <v>0.2001</v>
      </c>
      <c r="C74">
        <v>0.2412</v>
      </c>
      <c r="D74">
        <v>0.24759999999999999</v>
      </c>
      <c r="E74" s="2">
        <f t="shared" si="5"/>
        <v>0.22963333333333336</v>
      </c>
      <c r="F74">
        <v>21</v>
      </c>
      <c r="G74">
        <v>0.3266</v>
      </c>
      <c r="H74">
        <v>0.37080000000000002</v>
      </c>
      <c r="I74">
        <v>0.38869999999999999</v>
      </c>
      <c r="J74" s="2">
        <f t="shared" si="6"/>
        <v>0.36203333333333337</v>
      </c>
      <c r="K74">
        <v>21</v>
      </c>
      <c r="L74">
        <v>0.29120000000000001</v>
      </c>
      <c r="M74">
        <v>0.3427</v>
      </c>
      <c r="N74">
        <v>0.39729999999999999</v>
      </c>
      <c r="O74" s="13">
        <f t="shared" si="7"/>
        <v>0.34373333333333339</v>
      </c>
      <c r="P74">
        <v>21</v>
      </c>
      <c r="Q74">
        <v>0.31840000000000002</v>
      </c>
      <c r="R74">
        <v>0.29499999999999998</v>
      </c>
      <c r="S74">
        <v>0.379</v>
      </c>
      <c r="T74" s="2">
        <f t="shared" si="8"/>
        <v>0.33079999999999998</v>
      </c>
      <c r="U74">
        <v>21</v>
      </c>
      <c r="V74">
        <v>0.2409</v>
      </c>
      <c r="W74">
        <v>0.27</v>
      </c>
      <c r="X74">
        <v>0.30570000000000003</v>
      </c>
      <c r="Y74" s="2">
        <f t="shared" si="9"/>
        <v>0.2722</v>
      </c>
    </row>
    <row r="75" spans="1:25" x14ac:dyDescent="0.45">
      <c r="A75">
        <v>22</v>
      </c>
      <c r="B75" s="7">
        <v>0.19980000000000001</v>
      </c>
      <c r="C75">
        <v>0.2626</v>
      </c>
      <c r="D75">
        <v>0.26700000000000002</v>
      </c>
      <c r="E75" s="11">
        <f t="shared" si="5"/>
        <v>0.24313333333333334</v>
      </c>
      <c r="F75">
        <v>22</v>
      </c>
      <c r="G75">
        <v>0.35070000000000001</v>
      </c>
      <c r="H75">
        <v>0.33040000000000003</v>
      </c>
      <c r="I75">
        <v>0.3604</v>
      </c>
      <c r="J75" s="2">
        <f t="shared" si="6"/>
        <v>0.34716666666666668</v>
      </c>
      <c r="K75">
        <v>22</v>
      </c>
      <c r="L75">
        <v>0.29149999999999998</v>
      </c>
      <c r="M75">
        <v>0.31459999999999999</v>
      </c>
      <c r="N75">
        <v>0.39779999999999999</v>
      </c>
      <c r="O75" s="2">
        <f t="shared" si="7"/>
        <v>0.33463333333333334</v>
      </c>
      <c r="P75">
        <v>22</v>
      </c>
      <c r="Q75">
        <v>0.26069999999999999</v>
      </c>
      <c r="R75">
        <v>0.28339999999999999</v>
      </c>
      <c r="S75">
        <v>0.37030000000000002</v>
      </c>
      <c r="T75" s="2">
        <f t="shared" si="8"/>
        <v>0.30480000000000002</v>
      </c>
      <c r="U75">
        <v>22</v>
      </c>
      <c r="V75">
        <v>0.24859999999999999</v>
      </c>
      <c r="W75">
        <v>0.27750000000000002</v>
      </c>
      <c r="X75">
        <v>0.3392</v>
      </c>
      <c r="Y75" s="2">
        <f t="shared" si="9"/>
        <v>0.28843333333333332</v>
      </c>
    </row>
    <row r="76" spans="1:25" x14ac:dyDescent="0.45">
      <c r="A76">
        <v>23</v>
      </c>
      <c r="B76" s="7">
        <v>0.19359999999999999</v>
      </c>
      <c r="C76">
        <v>0.21410000000000001</v>
      </c>
      <c r="D76">
        <v>0.2482</v>
      </c>
      <c r="E76" s="2">
        <f t="shared" si="5"/>
        <v>0.21863333333333335</v>
      </c>
      <c r="F76">
        <v>23</v>
      </c>
      <c r="G76">
        <v>0.34589999999999999</v>
      </c>
      <c r="H76">
        <v>0.36459999999999998</v>
      </c>
      <c r="I76">
        <v>0.37119999999999997</v>
      </c>
      <c r="J76" s="2">
        <f t="shared" si="6"/>
        <v>0.36056666666666665</v>
      </c>
      <c r="K76">
        <v>23</v>
      </c>
      <c r="L76">
        <v>0.30520000000000003</v>
      </c>
      <c r="M76">
        <v>0.28539999999999999</v>
      </c>
      <c r="N76">
        <v>0.4234</v>
      </c>
      <c r="O76" s="2">
        <f t="shared" si="7"/>
        <v>0.33800000000000002</v>
      </c>
      <c r="P76">
        <v>23</v>
      </c>
      <c r="Q76">
        <v>0.26440000000000002</v>
      </c>
      <c r="R76">
        <v>0.34039999999999998</v>
      </c>
      <c r="S76">
        <v>0.47870000000000001</v>
      </c>
      <c r="T76" s="2">
        <f t="shared" si="8"/>
        <v>0.36116666666666664</v>
      </c>
      <c r="U76">
        <v>23</v>
      </c>
      <c r="V76">
        <v>0.24199999999999999</v>
      </c>
      <c r="W76">
        <v>0.28570000000000001</v>
      </c>
      <c r="X76">
        <v>0.28289999999999998</v>
      </c>
      <c r="Y76" s="2">
        <f t="shared" si="9"/>
        <v>0.2702</v>
      </c>
    </row>
    <row r="77" spans="1:25" ht="14.65" thickBot="1" x14ac:dyDescent="0.5">
      <c r="A77">
        <v>24</v>
      </c>
      <c r="B77" s="7">
        <v>0.21010000000000001</v>
      </c>
      <c r="C77">
        <v>0.25369999999999998</v>
      </c>
      <c r="D77">
        <v>0.31619999999999998</v>
      </c>
      <c r="E77" s="3">
        <f t="shared" si="5"/>
        <v>0.26</v>
      </c>
      <c r="F77">
        <v>24</v>
      </c>
      <c r="G77">
        <v>0.34189999999999998</v>
      </c>
      <c r="H77">
        <v>0.3644</v>
      </c>
      <c r="I77">
        <v>0.36</v>
      </c>
      <c r="J77" s="3">
        <f t="shared" si="6"/>
        <v>0.35543333333333332</v>
      </c>
      <c r="K77">
        <v>24</v>
      </c>
      <c r="L77">
        <v>0.3145</v>
      </c>
      <c r="M77">
        <v>0.26079999999999998</v>
      </c>
      <c r="N77">
        <v>0.3725</v>
      </c>
      <c r="O77" s="3">
        <f t="shared" si="7"/>
        <v>0.31593333333333334</v>
      </c>
      <c r="P77">
        <v>24</v>
      </c>
      <c r="Q77">
        <v>0.28839999999999999</v>
      </c>
      <c r="R77">
        <v>0.33489999999999998</v>
      </c>
      <c r="S77">
        <v>0.43840000000000001</v>
      </c>
      <c r="T77" s="3">
        <f t="shared" si="8"/>
        <v>0.35390000000000005</v>
      </c>
      <c r="U77">
        <v>24</v>
      </c>
      <c r="V77">
        <v>0.26240000000000002</v>
      </c>
      <c r="W77" s="14">
        <v>0.31559999999999999</v>
      </c>
      <c r="X77">
        <v>0.40670000000000001</v>
      </c>
      <c r="Y77" s="3">
        <f t="shared" si="9"/>
        <v>0.32823333333333338</v>
      </c>
    </row>
    <row r="79" spans="1:25" x14ac:dyDescent="0.45">
      <c r="A79" t="s">
        <v>4</v>
      </c>
      <c r="B79" s="8" t="s">
        <v>16</v>
      </c>
      <c r="C79" s="8" t="s">
        <v>17</v>
      </c>
      <c r="D79" s="8" t="s">
        <v>18</v>
      </c>
      <c r="E79" t="s">
        <v>38</v>
      </c>
      <c r="F79" t="s">
        <v>4</v>
      </c>
      <c r="G79" s="8" t="s">
        <v>0</v>
      </c>
      <c r="H79" s="8" t="s">
        <v>1</v>
      </c>
      <c r="I79" s="8" t="s">
        <v>2</v>
      </c>
      <c r="J79" t="s">
        <v>39</v>
      </c>
      <c r="K79" t="s">
        <v>4</v>
      </c>
      <c r="L79" s="8" t="s">
        <v>31</v>
      </c>
      <c r="M79" s="8" t="s">
        <v>32</v>
      </c>
      <c r="N79" s="8" t="s">
        <v>33</v>
      </c>
      <c r="O79" t="s">
        <v>40</v>
      </c>
      <c r="P79" t="s">
        <v>4</v>
      </c>
      <c r="Q79" s="8" t="s">
        <v>19</v>
      </c>
      <c r="R79" s="8" t="s">
        <v>20</v>
      </c>
      <c r="S79" s="8" t="s">
        <v>21</v>
      </c>
      <c r="T79" t="s">
        <v>41</v>
      </c>
      <c r="U79" t="s">
        <v>4</v>
      </c>
      <c r="V79" s="9" t="s">
        <v>0</v>
      </c>
      <c r="W79" s="9" t="s">
        <v>1</v>
      </c>
      <c r="X79" s="9" t="s">
        <v>2</v>
      </c>
      <c r="Y79" t="s">
        <v>42</v>
      </c>
    </row>
    <row r="80" spans="1:25" x14ac:dyDescent="0.45">
      <c r="A80">
        <v>1</v>
      </c>
      <c r="B80" s="7">
        <v>0.15959999999999999</v>
      </c>
      <c r="C80" s="7">
        <v>0.17860000000000001</v>
      </c>
      <c r="D80" s="7">
        <v>0.29649999999999999</v>
      </c>
      <c r="E80">
        <f>AVERAGE(B80:D80)</f>
        <v>0.21156666666666668</v>
      </c>
      <c r="F80">
        <v>1</v>
      </c>
      <c r="G80" s="7">
        <v>0.1512</v>
      </c>
      <c r="H80" s="7">
        <v>0.15029999999999999</v>
      </c>
      <c r="I80" s="7">
        <v>0.16470000000000001</v>
      </c>
      <c r="J80">
        <f>AVERAGE(G80:I80)</f>
        <v>0.15540000000000001</v>
      </c>
      <c r="K80">
        <v>1</v>
      </c>
      <c r="L80" s="7">
        <v>0.1888</v>
      </c>
      <c r="M80" s="7">
        <v>0.17549999999999999</v>
      </c>
      <c r="N80" s="7">
        <v>0.20039999999999999</v>
      </c>
      <c r="O80">
        <f>AVERAGE(L80:N80)</f>
        <v>0.18823333333333334</v>
      </c>
      <c r="P80">
        <v>1</v>
      </c>
      <c r="Q80" s="7">
        <v>0.34720000000000001</v>
      </c>
      <c r="R80" s="7">
        <v>0.26129999999999998</v>
      </c>
      <c r="S80" s="7">
        <v>0.17549999999999999</v>
      </c>
      <c r="T80">
        <f>AVERAGE(Q80:S80)</f>
        <v>0.26133333333333336</v>
      </c>
      <c r="U80">
        <v>1</v>
      </c>
      <c r="V80" s="10">
        <v>0.15509999999999999</v>
      </c>
      <c r="W80" s="10">
        <v>0.17499999999999999</v>
      </c>
      <c r="X80" s="10">
        <v>0.18340000000000001</v>
      </c>
      <c r="Y80">
        <f>AVERAGE(V80:X80)</f>
        <v>0.17116666666666666</v>
      </c>
    </row>
    <row r="81" spans="1:25" x14ac:dyDescent="0.45">
      <c r="A81">
        <v>2</v>
      </c>
      <c r="B81" s="16">
        <v>0.12720000000000001</v>
      </c>
      <c r="C81" s="16">
        <v>0.12509999999999999</v>
      </c>
      <c r="D81" s="16">
        <v>0.1217</v>
      </c>
      <c r="E81" s="14">
        <f t="shared" ref="E81:E103" si="10">AVERAGE(B81:D81)</f>
        <v>0.12466666666666666</v>
      </c>
      <c r="F81">
        <v>2</v>
      </c>
      <c r="G81" s="16">
        <v>0.1171</v>
      </c>
      <c r="H81" s="16">
        <v>0.1186</v>
      </c>
      <c r="I81" s="16">
        <v>0.12</v>
      </c>
      <c r="J81" s="14">
        <f t="shared" ref="J81:J103" si="11">AVERAGE(G81:I81)</f>
        <v>0.11856666666666667</v>
      </c>
      <c r="K81">
        <v>2</v>
      </c>
      <c r="L81" s="16">
        <v>0.1234</v>
      </c>
      <c r="M81" s="16">
        <v>0.1318</v>
      </c>
      <c r="N81" s="7">
        <v>0.128</v>
      </c>
      <c r="O81" s="14">
        <f t="shared" ref="O81:O103" si="12">AVERAGE(L81:N81)</f>
        <v>0.12773333333333334</v>
      </c>
      <c r="P81">
        <v>2</v>
      </c>
      <c r="Q81" s="16">
        <v>0.15939999999999999</v>
      </c>
      <c r="R81" s="16">
        <v>0.18229999999999999</v>
      </c>
      <c r="S81" s="16">
        <v>0.16020000000000001</v>
      </c>
      <c r="T81" s="14">
        <f t="shared" ref="T81:T103" si="13">AVERAGE(Q81:S81)</f>
        <v>0.1673</v>
      </c>
      <c r="U81">
        <v>2</v>
      </c>
      <c r="V81" s="16">
        <v>0.14419999999999999</v>
      </c>
      <c r="W81" s="16">
        <v>0.15110000000000001</v>
      </c>
      <c r="X81" s="16">
        <v>0.14990000000000001</v>
      </c>
      <c r="Y81" s="14">
        <f t="shared" ref="Y81:Y103" si="14">AVERAGE(V81:X81)</f>
        <v>0.1484</v>
      </c>
    </row>
    <row r="82" spans="1:25" x14ac:dyDescent="0.45">
      <c r="A82">
        <v>3</v>
      </c>
      <c r="B82" s="7">
        <v>0.1285</v>
      </c>
      <c r="C82" s="7">
        <v>0.12889999999999999</v>
      </c>
      <c r="D82" s="7">
        <v>0.11849999999999999</v>
      </c>
      <c r="E82">
        <f t="shared" si="10"/>
        <v>0.12529999999999999</v>
      </c>
      <c r="F82">
        <v>3</v>
      </c>
      <c r="G82" s="7">
        <v>0.1176</v>
      </c>
      <c r="H82" s="7">
        <v>0.1212</v>
      </c>
      <c r="I82" s="7">
        <v>0.1193</v>
      </c>
      <c r="J82">
        <f t="shared" si="11"/>
        <v>0.11936666666666668</v>
      </c>
      <c r="K82">
        <v>3</v>
      </c>
      <c r="L82" s="7">
        <v>0.1288</v>
      </c>
      <c r="M82" s="7">
        <v>0.1371</v>
      </c>
      <c r="N82" s="7">
        <v>0.13400000000000001</v>
      </c>
      <c r="O82">
        <f t="shared" si="12"/>
        <v>0.1333</v>
      </c>
      <c r="P82">
        <v>3</v>
      </c>
      <c r="Q82" s="7">
        <v>0.1648</v>
      </c>
      <c r="R82" s="7">
        <v>0.18720000000000001</v>
      </c>
      <c r="S82" s="7">
        <v>0.16850000000000001</v>
      </c>
      <c r="T82">
        <f t="shared" si="13"/>
        <v>0.17349999999999999</v>
      </c>
      <c r="U82">
        <v>3</v>
      </c>
      <c r="V82" s="10">
        <v>0.14430000000000001</v>
      </c>
      <c r="W82" s="10">
        <v>0.15210000000000001</v>
      </c>
      <c r="X82" s="10">
        <v>0.15809999999999999</v>
      </c>
      <c r="Y82">
        <f t="shared" si="14"/>
        <v>0.1515</v>
      </c>
    </row>
    <row r="83" spans="1:25" x14ac:dyDescent="0.45">
      <c r="A83">
        <v>4</v>
      </c>
      <c r="B83" s="7">
        <v>0.13</v>
      </c>
      <c r="C83" s="7">
        <v>0.1308</v>
      </c>
      <c r="D83" s="7">
        <v>0.1222</v>
      </c>
      <c r="E83">
        <f t="shared" si="10"/>
        <v>0.12766666666666668</v>
      </c>
      <c r="F83">
        <v>4</v>
      </c>
      <c r="G83" s="7">
        <v>0.11600000000000001</v>
      </c>
      <c r="H83" s="7">
        <v>0.13589999999999999</v>
      </c>
      <c r="I83" s="7">
        <v>0.1241</v>
      </c>
      <c r="J83">
        <f t="shared" si="11"/>
        <v>0.12533333333333332</v>
      </c>
      <c r="K83">
        <v>4</v>
      </c>
      <c r="L83" s="7">
        <v>0.1217</v>
      </c>
      <c r="M83" s="7">
        <v>0.13200000000000001</v>
      </c>
      <c r="N83" s="7">
        <v>0.12520000000000001</v>
      </c>
      <c r="O83">
        <f t="shared" si="12"/>
        <v>0.1263</v>
      </c>
      <c r="P83">
        <v>4</v>
      </c>
      <c r="Q83" s="7">
        <v>0.18459999999999999</v>
      </c>
      <c r="R83" s="7">
        <v>0.19189999999999999</v>
      </c>
      <c r="S83" s="7">
        <v>0.18529999999999999</v>
      </c>
      <c r="T83">
        <f t="shared" si="13"/>
        <v>0.18726666666666666</v>
      </c>
      <c r="U83">
        <v>4</v>
      </c>
      <c r="V83" s="10">
        <v>0.15629999999999999</v>
      </c>
      <c r="W83" s="10">
        <v>0.17369999999999999</v>
      </c>
      <c r="X83" s="10">
        <v>0.16089999999999999</v>
      </c>
      <c r="Y83">
        <f t="shared" si="14"/>
        <v>0.16363333333333333</v>
      </c>
    </row>
    <row r="84" spans="1:25" x14ac:dyDescent="0.45">
      <c r="A84">
        <v>5</v>
      </c>
      <c r="B84" s="7">
        <v>0.1444</v>
      </c>
      <c r="C84" s="7">
        <v>0.14530000000000001</v>
      </c>
      <c r="D84" s="7">
        <v>0.13650000000000001</v>
      </c>
      <c r="E84">
        <f t="shared" si="10"/>
        <v>0.14206666666666667</v>
      </c>
      <c r="F84">
        <v>5</v>
      </c>
      <c r="G84" s="7">
        <v>0.124</v>
      </c>
      <c r="H84" s="7">
        <v>0.1162</v>
      </c>
      <c r="I84" s="7">
        <v>0.12039999999999999</v>
      </c>
      <c r="J84">
        <f t="shared" si="11"/>
        <v>0.12019999999999999</v>
      </c>
      <c r="K84">
        <v>5</v>
      </c>
      <c r="L84" s="7">
        <v>0.14080000000000001</v>
      </c>
      <c r="M84" s="7">
        <v>0.12429999999999999</v>
      </c>
      <c r="N84" s="7">
        <v>0.13300000000000001</v>
      </c>
      <c r="O84">
        <f t="shared" si="12"/>
        <v>0.13270000000000001</v>
      </c>
      <c r="P84">
        <v>5</v>
      </c>
      <c r="Q84" s="7">
        <v>0.20280000000000001</v>
      </c>
      <c r="R84" s="7">
        <v>0.21879999999999999</v>
      </c>
      <c r="S84" s="7">
        <v>0.19939999999999999</v>
      </c>
      <c r="T84">
        <f t="shared" si="13"/>
        <v>0.20699999999999999</v>
      </c>
      <c r="U84">
        <v>5</v>
      </c>
      <c r="V84" s="10">
        <v>0.16669999999999999</v>
      </c>
      <c r="W84" s="10">
        <v>0.17230000000000001</v>
      </c>
      <c r="X84" s="10">
        <v>0.15989999999999999</v>
      </c>
      <c r="Y84">
        <f t="shared" si="14"/>
        <v>0.16629999999999998</v>
      </c>
    </row>
    <row r="85" spans="1:25" x14ac:dyDescent="0.45">
      <c r="A85">
        <v>6</v>
      </c>
      <c r="B85" s="7">
        <v>0.15909999999999999</v>
      </c>
      <c r="C85" s="7">
        <v>0.14330000000000001</v>
      </c>
      <c r="D85" s="7">
        <v>0.14130000000000001</v>
      </c>
      <c r="E85">
        <f t="shared" si="10"/>
        <v>0.1479</v>
      </c>
      <c r="F85">
        <v>6</v>
      </c>
      <c r="G85" s="7">
        <v>0.1095</v>
      </c>
      <c r="H85" s="7">
        <v>0.1129</v>
      </c>
      <c r="I85" s="7">
        <v>0.1091</v>
      </c>
      <c r="J85">
        <f t="shared" si="11"/>
        <v>0.1105</v>
      </c>
      <c r="K85">
        <v>6</v>
      </c>
      <c r="L85" s="7">
        <v>0.1346</v>
      </c>
      <c r="M85" s="7">
        <v>0.13539999999999999</v>
      </c>
      <c r="N85" s="16">
        <v>0.1192</v>
      </c>
      <c r="O85">
        <f t="shared" si="12"/>
        <v>0.12973333333333334</v>
      </c>
      <c r="P85">
        <v>6</v>
      </c>
      <c r="Q85" s="7">
        <v>0.21410000000000001</v>
      </c>
      <c r="R85" s="7">
        <v>0.22520000000000001</v>
      </c>
      <c r="S85" s="7">
        <v>0.20649999999999999</v>
      </c>
      <c r="T85">
        <f t="shared" si="13"/>
        <v>0.21526666666666669</v>
      </c>
      <c r="U85">
        <v>6</v>
      </c>
      <c r="V85" s="10">
        <v>0.17699999999999999</v>
      </c>
      <c r="W85" s="10">
        <v>0.19070000000000001</v>
      </c>
      <c r="X85" s="10">
        <v>0.1716</v>
      </c>
      <c r="Y85">
        <f t="shared" si="14"/>
        <v>0.17976666666666666</v>
      </c>
    </row>
    <row r="86" spans="1:25" x14ac:dyDescent="0.45">
      <c r="A86">
        <v>7</v>
      </c>
      <c r="B86" s="7">
        <v>0.16109999999999999</v>
      </c>
      <c r="C86" s="7">
        <v>0.16470000000000001</v>
      </c>
      <c r="D86" s="7">
        <v>0.14680000000000001</v>
      </c>
      <c r="E86">
        <f t="shared" si="10"/>
        <v>0.15753333333333333</v>
      </c>
      <c r="F86">
        <v>7</v>
      </c>
      <c r="G86" s="7">
        <v>0.13739999999999999</v>
      </c>
      <c r="H86" s="7">
        <v>0.13589999999999999</v>
      </c>
      <c r="I86" s="7">
        <v>0.1288</v>
      </c>
      <c r="J86">
        <f t="shared" si="11"/>
        <v>0.13403333333333334</v>
      </c>
      <c r="K86">
        <v>7</v>
      </c>
      <c r="L86" s="7">
        <v>0.13669999999999999</v>
      </c>
      <c r="M86" s="7">
        <v>0.16070000000000001</v>
      </c>
      <c r="N86" s="7">
        <v>0.1454</v>
      </c>
      <c r="O86">
        <f t="shared" si="12"/>
        <v>0.14759999999999998</v>
      </c>
      <c r="P86">
        <v>7</v>
      </c>
      <c r="Q86" s="7">
        <v>0.21260000000000001</v>
      </c>
      <c r="R86" s="7">
        <v>0.2402</v>
      </c>
      <c r="S86" s="7">
        <v>0.22189999999999999</v>
      </c>
      <c r="T86">
        <f t="shared" si="13"/>
        <v>0.22489999999999999</v>
      </c>
      <c r="U86">
        <v>7</v>
      </c>
      <c r="V86" s="10">
        <v>0.18720000000000001</v>
      </c>
      <c r="W86" s="10">
        <v>0.1943</v>
      </c>
      <c r="X86" s="10">
        <v>0.19220000000000001</v>
      </c>
      <c r="Y86">
        <f t="shared" si="14"/>
        <v>0.19123333333333334</v>
      </c>
    </row>
    <row r="87" spans="1:25" x14ac:dyDescent="0.45">
      <c r="A87">
        <v>8</v>
      </c>
      <c r="B87" s="7">
        <v>0.16950000000000001</v>
      </c>
      <c r="C87" s="7">
        <v>0.16320000000000001</v>
      </c>
      <c r="D87" s="7">
        <v>0.14649999999999999</v>
      </c>
      <c r="E87">
        <f t="shared" si="10"/>
        <v>0.15973333333333331</v>
      </c>
      <c r="F87">
        <v>8</v>
      </c>
      <c r="G87" s="7">
        <v>0.1497</v>
      </c>
      <c r="H87" s="7">
        <v>0.1588</v>
      </c>
      <c r="I87" s="7">
        <v>0.1328</v>
      </c>
      <c r="J87">
        <f t="shared" si="11"/>
        <v>0.14710000000000001</v>
      </c>
      <c r="K87">
        <v>8</v>
      </c>
      <c r="L87" s="7">
        <v>0.1545</v>
      </c>
      <c r="M87" s="7">
        <v>0.15690000000000001</v>
      </c>
      <c r="N87" s="7">
        <v>0.15190000000000001</v>
      </c>
      <c r="O87">
        <f t="shared" si="12"/>
        <v>0.15443333333333334</v>
      </c>
      <c r="P87">
        <v>8</v>
      </c>
      <c r="Q87" s="7">
        <v>0.24049999999999999</v>
      </c>
      <c r="R87" s="7">
        <v>0.27700000000000002</v>
      </c>
      <c r="S87" s="7">
        <v>0.2366</v>
      </c>
      <c r="T87">
        <f t="shared" si="13"/>
        <v>0.25136666666666668</v>
      </c>
      <c r="U87">
        <v>8</v>
      </c>
      <c r="V87" s="10">
        <v>0.19689999999999999</v>
      </c>
      <c r="W87" s="10">
        <v>0.21859999999999999</v>
      </c>
      <c r="X87" s="10">
        <v>0.21429999999999999</v>
      </c>
      <c r="Y87">
        <f t="shared" si="14"/>
        <v>0.20993333333333331</v>
      </c>
    </row>
    <row r="88" spans="1:25" x14ac:dyDescent="0.45">
      <c r="A88">
        <v>9</v>
      </c>
      <c r="B88" s="7">
        <v>0.1704</v>
      </c>
      <c r="C88" s="7">
        <v>0.17299999999999999</v>
      </c>
      <c r="D88" s="7">
        <v>0.1532</v>
      </c>
      <c r="E88">
        <f t="shared" si="10"/>
        <v>0.16553333333333334</v>
      </c>
      <c r="F88">
        <v>9</v>
      </c>
      <c r="G88" s="7">
        <v>0.155</v>
      </c>
      <c r="H88" s="7">
        <v>0.13650000000000001</v>
      </c>
      <c r="I88" s="7">
        <v>0.1217</v>
      </c>
      <c r="J88">
        <f t="shared" si="11"/>
        <v>0.13773333333333335</v>
      </c>
      <c r="K88">
        <v>9</v>
      </c>
      <c r="L88" s="7">
        <v>0.14330000000000001</v>
      </c>
      <c r="M88" s="7">
        <v>0.1731</v>
      </c>
      <c r="N88" s="7">
        <v>0.15440000000000001</v>
      </c>
      <c r="O88">
        <f t="shared" si="12"/>
        <v>0.15693333333333334</v>
      </c>
      <c r="P88">
        <v>9</v>
      </c>
      <c r="Q88" s="7">
        <v>0.24010000000000001</v>
      </c>
      <c r="R88" s="7">
        <v>0.29120000000000001</v>
      </c>
      <c r="S88" s="7">
        <v>0.22900000000000001</v>
      </c>
      <c r="T88">
        <f t="shared" si="13"/>
        <v>0.25343333333333334</v>
      </c>
      <c r="U88">
        <v>9</v>
      </c>
      <c r="V88" s="10">
        <v>0.21</v>
      </c>
      <c r="W88" s="10">
        <v>0.22620000000000001</v>
      </c>
      <c r="X88" s="10">
        <v>0.22950000000000001</v>
      </c>
      <c r="Y88">
        <f t="shared" si="14"/>
        <v>0.22190000000000001</v>
      </c>
    </row>
    <row r="89" spans="1:25" x14ac:dyDescent="0.45">
      <c r="A89">
        <v>10</v>
      </c>
      <c r="B89" s="7">
        <v>0.17949999999999999</v>
      </c>
      <c r="C89" s="7">
        <v>0.1832</v>
      </c>
      <c r="D89" s="7">
        <v>0.16489999999999999</v>
      </c>
      <c r="E89">
        <f t="shared" si="10"/>
        <v>0.1758666666666667</v>
      </c>
      <c r="F89">
        <v>10</v>
      </c>
      <c r="G89" s="7">
        <v>0.1555</v>
      </c>
      <c r="H89" s="7">
        <v>0.14330000000000001</v>
      </c>
      <c r="I89" s="7">
        <v>0.1525</v>
      </c>
      <c r="J89">
        <f t="shared" si="11"/>
        <v>0.15043333333333334</v>
      </c>
      <c r="K89">
        <v>10</v>
      </c>
      <c r="L89" s="7">
        <v>0.16220000000000001</v>
      </c>
      <c r="M89" s="7">
        <v>0.17849999999999999</v>
      </c>
      <c r="N89" s="7">
        <v>0.1762</v>
      </c>
      <c r="O89">
        <f t="shared" si="12"/>
        <v>0.17230000000000001</v>
      </c>
      <c r="P89">
        <v>10</v>
      </c>
      <c r="Q89" s="7">
        <v>0.26179999999999998</v>
      </c>
      <c r="R89" s="7">
        <v>0.31230000000000002</v>
      </c>
      <c r="S89" s="7">
        <v>0.23449999999999999</v>
      </c>
      <c r="T89">
        <f t="shared" si="13"/>
        <v>0.26953333333333335</v>
      </c>
      <c r="U89">
        <v>10</v>
      </c>
      <c r="V89" s="10">
        <v>0.22140000000000001</v>
      </c>
      <c r="W89" s="10">
        <v>0.246</v>
      </c>
      <c r="X89" s="10">
        <v>0.24690000000000001</v>
      </c>
      <c r="Y89">
        <f t="shared" si="14"/>
        <v>0.23810000000000001</v>
      </c>
    </row>
    <row r="90" spans="1:25" x14ac:dyDescent="0.45">
      <c r="A90">
        <v>11</v>
      </c>
      <c r="B90" s="7">
        <v>0.18679999999999999</v>
      </c>
      <c r="C90" s="7">
        <v>0.1847</v>
      </c>
      <c r="D90" s="7">
        <v>0.1759</v>
      </c>
      <c r="E90">
        <f t="shared" si="10"/>
        <v>0.18246666666666667</v>
      </c>
      <c r="F90">
        <v>11</v>
      </c>
      <c r="G90" s="7">
        <v>0.16819999999999999</v>
      </c>
      <c r="H90" s="7">
        <v>0.15609999999999999</v>
      </c>
      <c r="I90" s="7">
        <v>0.15679999999999999</v>
      </c>
      <c r="J90">
        <f t="shared" si="11"/>
        <v>0.16036666666666666</v>
      </c>
      <c r="K90">
        <v>11</v>
      </c>
      <c r="L90" s="7">
        <v>0.18279999999999999</v>
      </c>
      <c r="M90" s="7">
        <v>0.18240000000000001</v>
      </c>
      <c r="N90" s="7">
        <v>0.17749999999999999</v>
      </c>
      <c r="O90">
        <f t="shared" si="12"/>
        <v>0.18089999999999998</v>
      </c>
      <c r="P90">
        <v>11</v>
      </c>
      <c r="Q90" s="7">
        <v>0.2772</v>
      </c>
      <c r="R90" s="7">
        <v>0.3382</v>
      </c>
      <c r="S90" s="7">
        <v>0.24479999999999999</v>
      </c>
      <c r="T90" s="14">
        <f t="shared" si="13"/>
        <v>0.28673333333333334</v>
      </c>
      <c r="U90">
        <v>11</v>
      </c>
      <c r="V90" s="10">
        <v>0.24210000000000001</v>
      </c>
      <c r="W90" s="10">
        <v>0.2707</v>
      </c>
      <c r="X90" s="10">
        <v>0.26840000000000003</v>
      </c>
      <c r="Y90">
        <f t="shared" si="14"/>
        <v>0.26040000000000002</v>
      </c>
    </row>
    <row r="91" spans="1:25" x14ac:dyDescent="0.45">
      <c r="A91">
        <v>12</v>
      </c>
      <c r="B91" s="7">
        <v>0.19800000000000001</v>
      </c>
      <c r="C91" s="7">
        <v>0.1837</v>
      </c>
      <c r="D91" s="7">
        <v>0.18609999999999999</v>
      </c>
      <c r="E91">
        <f t="shared" si="10"/>
        <v>0.18926666666666669</v>
      </c>
      <c r="F91">
        <v>12</v>
      </c>
      <c r="G91" s="7">
        <v>0.1714</v>
      </c>
      <c r="H91" s="7">
        <v>0.16239999999999999</v>
      </c>
      <c r="I91" s="7">
        <v>0.17019999999999999</v>
      </c>
      <c r="J91">
        <f t="shared" si="11"/>
        <v>0.16800000000000001</v>
      </c>
      <c r="K91">
        <v>12</v>
      </c>
      <c r="L91" s="7">
        <v>0.18459999999999999</v>
      </c>
      <c r="M91" s="7">
        <v>0.19589999999999999</v>
      </c>
      <c r="N91" s="7">
        <v>0.1996</v>
      </c>
      <c r="O91">
        <f t="shared" si="12"/>
        <v>0.19336666666666666</v>
      </c>
      <c r="P91">
        <v>12</v>
      </c>
      <c r="Q91" s="7">
        <v>0.26729999999999998</v>
      </c>
      <c r="R91" s="7">
        <v>0.30819999999999997</v>
      </c>
      <c r="S91" s="7">
        <v>0.2661</v>
      </c>
      <c r="T91">
        <f t="shared" si="13"/>
        <v>0.2805333333333333</v>
      </c>
      <c r="U91">
        <v>12</v>
      </c>
      <c r="V91" s="10">
        <v>0.24610000000000001</v>
      </c>
      <c r="W91" s="10">
        <v>0.2853</v>
      </c>
      <c r="X91" s="10">
        <v>0.28670000000000001</v>
      </c>
      <c r="Y91">
        <f t="shared" si="14"/>
        <v>0.2727</v>
      </c>
    </row>
    <row r="92" spans="1:25" x14ac:dyDescent="0.45">
      <c r="A92">
        <v>13</v>
      </c>
      <c r="B92" s="16">
        <v>0.21379999999999999</v>
      </c>
      <c r="C92" s="7">
        <v>0.2167</v>
      </c>
      <c r="D92" s="7">
        <v>0.17879999999999999</v>
      </c>
      <c r="E92">
        <f t="shared" si="10"/>
        <v>0.20309999999999997</v>
      </c>
      <c r="F92">
        <v>13</v>
      </c>
      <c r="G92" s="7">
        <v>0.1802</v>
      </c>
      <c r="H92" s="7">
        <v>0.16639999999999999</v>
      </c>
      <c r="I92" s="7">
        <v>0.18</v>
      </c>
      <c r="J92">
        <f t="shared" si="11"/>
        <v>0.17553333333333332</v>
      </c>
      <c r="K92">
        <v>13</v>
      </c>
      <c r="L92" s="7">
        <v>0.19470000000000001</v>
      </c>
      <c r="M92" s="7">
        <v>0.2049</v>
      </c>
      <c r="N92" s="7">
        <v>0.222</v>
      </c>
      <c r="O92">
        <f t="shared" si="12"/>
        <v>0.20720000000000002</v>
      </c>
      <c r="P92">
        <v>13</v>
      </c>
      <c r="Q92" s="7">
        <v>0.28639999999999999</v>
      </c>
      <c r="R92" s="7">
        <v>0.2999</v>
      </c>
      <c r="S92" s="7">
        <v>0.29430000000000001</v>
      </c>
      <c r="T92">
        <f t="shared" si="13"/>
        <v>0.29353333333333337</v>
      </c>
      <c r="U92">
        <v>13</v>
      </c>
      <c r="V92" s="10">
        <v>0.2752</v>
      </c>
      <c r="W92" s="10">
        <v>0.30620000000000003</v>
      </c>
      <c r="X92" s="10">
        <v>0.31219999999999998</v>
      </c>
      <c r="Y92">
        <f t="shared" si="14"/>
        <v>0.29786666666666667</v>
      </c>
    </row>
    <row r="93" spans="1:25" x14ac:dyDescent="0.45">
      <c r="A93">
        <v>14</v>
      </c>
      <c r="B93" s="7">
        <v>0.2069</v>
      </c>
      <c r="C93" s="7">
        <v>0.2205</v>
      </c>
      <c r="D93" s="7">
        <v>0.1966</v>
      </c>
      <c r="E93">
        <f t="shared" si="10"/>
        <v>0.20799999999999999</v>
      </c>
      <c r="F93">
        <v>14</v>
      </c>
      <c r="G93" s="16">
        <v>0.18279999999999999</v>
      </c>
      <c r="H93" s="7">
        <v>0.16889999999999999</v>
      </c>
      <c r="I93" s="7">
        <v>0.17419999999999999</v>
      </c>
      <c r="J93">
        <f t="shared" si="11"/>
        <v>0.17530000000000001</v>
      </c>
      <c r="K93">
        <v>14</v>
      </c>
      <c r="L93" s="7">
        <v>0.19109999999999999</v>
      </c>
      <c r="M93" s="7">
        <v>0.216</v>
      </c>
      <c r="N93" s="7">
        <v>0.25009999999999999</v>
      </c>
      <c r="O93">
        <f t="shared" si="12"/>
        <v>0.21906666666666666</v>
      </c>
      <c r="P93">
        <v>14</v>
      </c>
      <c r="Q93" s="7">
        <v>0.28349999999999997</v>
      </c>
      <c r="R93" s="7">
        <v>0.29399999999999998</v>
      </c>
      <c r="S93" s="16">
        <v>0.2225</v>
      </c>
      <c r="T93">
        <f t="shared" si="13"/>
        <v>0.26666666666666666</v>
      </c>
      <c r="U93">
        <v>14</v>
      </c>
      <c r="V93" s="10">
        <v>0.28239999999999998</v>
      </c>
      <c r="W93" s="10">
        <v>0.3301</v>
      </c>
      <c r="X93" s="16">
        <v>0.33829999999999999</v>
      </c>
      <c r="Y93">
        <f t="shared" si="14"/>
        <v>0.31693333333333334</v>
      </c>
    </row>
    <row r="94" spans="1:25" x14ac:dyDescent="0.45">
      <c r="A94">
        <v>15</v>
      </c>
      <c r="B94" s="7">
        <v>0.21110000000000001</v>
      </c>
      <c r="C94" s="7">
        <v>0.20630000000000001</v>
      </c>
      <c r="D94" s="7">
        <v>0.21990000000000001</v>
      </c>
      <c r="E94" s="14">
        <f t="shared" si="10"/>
        <v>0.21243333333333334</v>
      </c>
      <c r="F94">
        <v>15</v>
      </c>
      <c r="G94" s="7">
        <v>0.1555</v>
      </c>
      <c r="H94" s="7">
        <v>0.1676</v>
      </c>
      <c r="I94" s="7">
        <v>0.1961</v>
      </c>
      <c r="J94">
        <f t="shared" si="11"/>
        <v>0.17306666666666667</v>
      </c>
      <c r="K94">
        <v>15</v>
      </c>
      <c r="L94" s="7">
        <v>0.2089</v>
      </c>
      <c r="M94" s="7">
        <v>0.22450000000000001</v>
      </c>
      <c r="N94" s="7">
        <v>0.25929999999999997</v>
      </c>
      <c r="O94">
        <f t="shared" si="12"/>
        <v>0.23089999999999999</v>
      </c>
      <c r="P94">
        <v>15</v>
      </c>
      <c r="Q94" s="7">
        <v>0.2928</v>
      </c>
      <c r="R94" s="7">
        <v>0.35809999999999997</v>
      </c>
      <c r="S94" s="7">
        <v>0.15959999999999999</v>
      </c>
      <c r="T94">
        <f t="shared" si="13"/>
        <v>0.27016666666666667</v>
      </c>
      <c r="U94">
        <v>15</v>
      </c>
      <c r="V94" s="10">
        <v>0.30130000000000001</v>
      </c>
      <c r="W94" s="10">
        <v>0.34639999999999999</v>
      </c>
      <c r="X94" s="10">
        <v>0.33119999999999999</v>
      </c>
      <c r="Y94">
        <f t="shared" si="14"/>
        <v>0.32629999999999998</v>
      </c>
    </row>
    <row r="95" spans="1:25" x14ac:dyDescent="0.45">
      <c r="A95">
        <v>16</v>
      </c>
      <c r="B95" s="7">
        <v>0.2203</v>
      </c>
      <c r="C95" s="16">
        <v>0.21590000000000001</v>
      </c>
      <c r="D95" s="7">
        <v>0.2286</v>
      </c>
      <c r="E95">
        <f t="shared" si="10"/>
        <v>0.22160000000000002</v>
      </c>
      <c r="F95">
        <v>16</v>
      </c>
      <c r="G95" s="7">
        <v>0.15959999999999999</v>
      </c>
      <c r="H95" s="7">
        <v>0.1749</v>
      </c>
      <c r="I95" s="7">
        <v>0.1913</v>
      </c>
      <c r="J95">
        <f t="shared" si="11"/>
        <v>0.17526666666666668</v>
      </c>
      <c r="K95">
        <v>16</v>
      </c>
      <c r="L95" s="7">
        <v>0.21579999999999999</v>
      </c>
      <c r="M95" s="7">
        <v>0.23480000000000001</v>
      </c>
      <c r="N95" s="7">
        <v>0.2656</v>
      </c>
      <c r="O95">
        <f t="shared" si="12"/>
        <v>0.23873333333333333</v>
      </c>
      <c r="P95">
        <v>16</v>
      </c>
      <c r="Q95" s="7">
        <v>0.2989</v>
      </c>
      <c r="R95" s="7">
        <v>0.39290000000000003</v>
      </c>
      <c r="S95" s="7">
        <v>0.20039999999999999</v>
      </c>
      <c r="T95">
        <f t="shared" si="13"/>
        <v>0.2974</v>
      </c>
      <c r="U95">
        <v>16</v>
      </c>
      <c r="V95" s="10">
        <v>0.31509999999999999</v>
      </c>
      <c r="W95" s="10">
        <v>0.34989999999999999</v>
      </c>
      <c r="X95" s="10">
        <v>0.37780000000000002</v>
      </c>
      <c r="Y95">
        <f t="shared" si="14"/>
        <v>0.34760000000000008</v>
      </c>
    </row>
    <row r="96" spans="1:25" x14ac:dyDescent="0.45">
      <c r="A96">
        <v>17</v>
      </c>
      <c r="B96" s="7">
        <v>0.22189999999999999</v>
      </c>
      <c r="C96" s="7">
        <v>0.215</v>
      </c>
      <c r="D96" s="16">
        <v>0.21390000000000001</v>
      </c>
      <c r="E96">
        <f t="shared" si="10"/>
        <v>0.21693333333333331</v>
      </c>
      <c r="F96">
        <v>17</v>
      </c>
      <c r="G96" s="7">
        <v>0.18759999999999999</v>
      </c>
      <c r="H96" s="7">
        <v>0.17979999999999999</v>
      </c>
      <c r="I96" s="7">
        <v>0.2102</v>
      </c>
      <c r="J96">
        <f t="shared" si="11"/>
        <v>0.19253333333333331</v>
      </c>
      <c r="K96">
        <v>17</v>
      </c>
      <c r="L96" s="7">
        <v>0.2298</v>
      </c>
      <c r="M96" s="7">
        <v>0.25559999999999999</v>
      </c>
      <c r="N96" s="7">
        <v>0.29289999999999999</v>
      </c>
      <c r="O96">
        <f t="shared" si="12"/>
        <v>0.25943333333333335</v>
      </c>
      <c r="P96">
        <v>17</v>
      </c>
      <c r="Q96" s="7">
        <v>0.3201</v>
      </c>
      <c r="R96" s="7">
        <v>0.47620000000000001</v>
      </c>
      <c r="S96" s="7">
        <v>0.29799999999999999</v>
      </c>
      <c r="T96">
        <f t="shared" si="13"/>
        <v>0.36476666666666668</v>
      </c>
      <c r="U96">
        <v>17</v>
      </c>
      <c r="V96" s="16">
        <v>0.33989999999999998</v>
      </c>
      <c r="W96" s="10">
        <v>0.38219999999999998</v>
      </c>
      <c r="X96" s="10">
        <v>0.41639999999999999</v>
      </c>
      <c r="Y96">
        <f t="shared" si="14"/>
        <v>0.3795</v>
      </c>
    </row>
    <row r="97" spans="1:25" x14ac:dyDescent="0.45">
      <c r="A97">
        <v>18</v>
      </c>
      <c r="B97" s="7">
        <v>0.21759999999999999</v>
      </c>
      <c r="C97" s="7">
        <v>0.2185</v>
      </c>
      <c r="D97" s="7">
        <v>0.21340000000000001</v>
      </c>
      <c r="E97">
        <f t="shared" si="10"/>
        <v>0.2165</v>
      </c>
      <c r="F97">
        <v>18</v>
      </c>
      <c r="G97" s="7">
        <v>0.1804</v>
      </c>
      <c r="H97" s="7">
        <v>0.1847</v>
      </c>
      <c r="I97" s="7">
        <v>0.22289999999999999</v>
      </c>
      <c r="J97">
        <f t="shared" si="11"/>
        <v>0.19599999999999998</v>
      </c>
      <c r="K97">
        <v>18</v>
      </c>
      <c r="L97" s="7">
        <v>0.24160000000000001</v>
      </c>
      <c r="M97" s="7">
        <v>0.27089999999999997</v>
      </c>
      <c r="N97" s="7">
        <v>0.27239999999999998</v>
      </c>
      <c r="O97">
        <f t="shared" si="12"/>
        <v>0.26163333333333333</v>
      </c>
      <c r="P97">
        <v>18</v>
      </c>
      <c r="Q97" s="7">
        <v>0.30909999999999999</v>
      </c>
      <c r="R97" s="7">
        <v>0.42259999999999998</v>
      </c>
      <c r="S97" s="7">
        <v>0.30559999999999998</v>
      </c>
      <c r="T97">
        <f t="shared" si="13"/>
        <v>0.34576666666666672</v>
      </c>
      <c r="U97">
        <v>18</v>
      </c>
      <c r="V97" s="10">
        <v>0.34160000000000001</v>
      </c>
      <c r="W97" s="10">
        <v>0.4153</v>
      </c>
      <c r="X97" s="10">
        <v>0.44919999999999999</v>
      </c>
      <c r="Y97" s="14">
        <f t="shared" si="14"/>
        <v>0.4020333333333333</v>
      </c>
    </row>
    <row r="98" spans="1:25" x14ac:dyDescent="0.45">
      <c r="A98">
        <v>19</v>
      </c>
      <c r="B98" s="7">
        <v>0.20180000000000001</v>
      </c>
      <c r="C98" s="7">
        <v>0.2104</v>
      </c>
      <c r="D98" s="7">
        <v>0.19850000000000001</v>
      </c>
      <c r="E98">
        <f t="shared" si="10"/>
        <v>0.20356666666666667</v>
      </c>
      <c r="F98">
        <v>19</v>
      </c>
      <c r="G98" s="7">
        <v>0.19489999999999999</v>
      </c>
      <c r="H98" s="7">
        <v>0.21759999999999999</v>
      </c>
      <c r="I98" s="16">
        <v>0.23599999999999999</v>
      </c>
      <c r="J98" s="14">
        <f t="shared" si="11"/>
        <v>0.21616666666666665</v>
      </c>
      <c r="K98">
        <v>19</v>
      </c>
      <c r="L98" s="7">
        <v>0.2392</v>
      </c>
      <c r="M98" s="7">
        <v>0.28860000000000002</v>
      </c>
      <c r="N98" s="7">
        <v>0.32</v>
      </c>
      <c r="O98">
        <f t="shared" si="12"/>
        <v>0.28260000000000002</v>
      </c>
      <c r="P98">
        <v>19</v>
      </c>
      <c r="Q98" s="7">
        <v>0.32900000000000001</v>
      </c>
      <c r="R98" s="7">
        <v>0.42070000000000002</v>
      </c>
      <c r="S98" s="7">
        <v>0.17810000000000001</v>
      </c>
      <c r="T98">
        <f t="shared" si="13"/>
        <v>0.30926666666666669</v>
      </c>
      <c r="U98">
        <v>19</v>
      </c>
      <c r="V98" s="10">
        <v>0.33090000000000003</v>
      </c>
      <c r="W98" s="10">
        <v>0.41830000000000001</v>
      </c>
      <c r="X98" s="10">
        <v>0.46439999999999998</v>
      </c>
      <c r="Y98">
        <f t="shared" si="14"/>
        <v>0.40453333333333336</v>
      </c>
    </row>
    <row r="99" spans="1:25" x14ac:dyDescent="0.45">
      <c r="A99">
        <v>20</v>
      </c>
      <c r="B99" s="7">
        <v>0.21920000000000001</v>
      </c>
      <c r="C99" s="7">
        <v>0.1966</v>
      </c>
      <c r="D99" s="7">
        <v>0.2026</v>
      </c>
      <c r="E99">
        <f t="shared" si="10"/>
        <v>0.20613333333333336</v>
      </c>
      <c r="F99">
        <v>20</v>
      </c>
      <c r="G99" s="7">
        <v>0.22869999999999999</v>
      </c>
      <c r="H99" s="7">
        <v>0.20760000000000001</v>
      </c>
      <c r="I99" s="7">
        <v>0.26740000000000003</v>
      </c>
      <c r="J99">
        <f t="shared" si="11"/>
        <v>0.23456666666666667</v>
      </c>
      <c r="K99">
        <v>20</v>
      </c>
      <c r="L99" s="7">
        <v>0.25679999999999997</v>
      </c>
      <c r="M99" s="7">
        <v>0.30740000000000001</v>
      </c>
      <c r="N99" s="7">
        <v>0.308</v>
      </c>
      <c r="O99">
        <f t="shared" si="12"/>
        <v>0.29073333333333334</v>
      </c>
      <c r="P99">
        <v>20</v>
      </c>
      <c r="Q99" s="7">
        <v>0.33</v>
      </c>
      <c r="R99" s="7">
        <v>0.4612</v>
      </c>
      <c r="S99" s="7">
        <v>0.2074</v>
      </c>
      <c r="T99">
        <f t="shared" si="13"/>
        <v>0.3328666666666667</v>
      </c>
      <c r="U99">
        <v>20</v>
      </c>
      <c r="V99" s="10">
        <v>0.37790000000000001</v>
      </c>
      <c r="W99" s="10">
        <v>0.43130000000000002</v>
      </c>
      <c r="X99" s="10">
        <v>0.48870000000000002</v>
      </c>
      <c r="Y99">
        <f t="shared" si="14"/>
        <v>0.43263333333333337</v>
      </c>
    </row>
    <row r="100" spans="1:25" x14ac:dyDescent="0.45">
      <c r="A100">
        <v>21</v>
      </c>
      <c r="B100" s="7">
        <v>0.2157</v>
      </c>
      <c r="C100" s="7">
        <v>0.17069999999999999</v>
      </c>
      <c r="D100" s="7">
        <v>0.18049999999999999</v>
      </c>
      <c r="E100">
        <f t="shared" si="10"/>
        <v>0.18896666666666664</v>
      </c>
      <c r="F100">
        <v>21</v>
      </c>
      <c r="G100" s="7">
        <v>0.27200000000000002</v>
      </c>
      <c r="H100" s="7">
        <v>0.21149999999999999</v>
      </c>
      <c r="I100" s="7">
        <v>0.23649999999999999</v>
      </c>
      <c r="J100">
        <f t="shared" si="11"/>
        <v>0.24</v>
      </c>
      <c r="K100">
        <v>21</v>
      </c>
      <c r="L100" s="7">
        <v>0.26979999999999998</v>
      </c>
      <c r="M100" s="7">
        <v>0.30780000000000002</v>
      </c>
      <c r="N100" s="7">
        <v>0.30209999999999998</v>
      </c>
      <c r="O100">
        <f t="shared" si="12"/>
        <v>0.29323333333333329</v>
      </c>
      <c r="P100">
        <v>21</v>
      </c>
      <c r="Q100" s="7">
        <v>0.32819999999999999</v>
      </c>
      <c r="R100" s="7">
        <v>0.47799999999999998</v>
      </c>
      <c r="S100" s="7">
        <v>0.40139999999999998</v>
      </c>
      <c r="T100">
        <f t="shared" si="13"/>
        <v>0.40253333333333335</v>
      </c>
      <c r="U100">
        <v>21</v>
      </c>
      <c r="V100" s="10">
        <v>0.31409999999999999</v>
      </c>
      <c r="W100" s="10">
        <v>0.4405</v>
      </c>
      <c r="X100" s="10">
        <v>0.51219999999999999</v>
      </c>
      <c r="Y100">
        <f t="shared" si="14"/>
        <v>0.42226666666666662</v>
      </c>
    </row>
    <row r="101" spans="1:25" x14ac:dyDescent="0.45">
      <c r="A101">
        <v>22</v>
      </c>
      <c r="B101" s="7">
        <v>0.19489999999999999</v>
      </c>
      <c r="C101" s="7">
        <v>0.20130000000000001</v>
      </c>
      <c r="D101" s="7">
        <v>0.1777</v>
      </c>
      <c r="E101">
        <f t="shared" si="10"/>
        <v>0.1913</v>
      </c>
      <c r="F101">
        <v>22</v>
      </c>
      <c r="G101" s="7">
        <v>0.15129999999999999</v>
      </c>
      <c r="H101" s="7">
        <v>0.21240000000000001</v>
      </c>
      <c r="I101" s="7">
        <v>0.25430000000000003</v>
      </c>
      <c r="J101">
        <f t="shared" si="11"/>
        <v>0.20600000000000004</v>
      </c>
      <c r="K101">
        <v>22</v>
      </c>
      <c r="L101" s="7">
        <v>0.27510000000000001</v>
      </c>
      <c r="M101" s="7">
        <v>0.3306</v>
      </c>
      <c r="N101" s="16">
        <v>0.31990000000000002</v>
      </c>
      <c r="O101">
        <f t="shared" si="12"/>
        <v>0.30853333333333333</v>
      </c>
      <c r="P101">
        <v>22</v>
      </c>
      <c r="Q101" s="7">
        <v>0.33539999999999998</v>
      </c>
      <c r="R101" s="7">
        <v>0.47060000000000002</v>
      </c>
      <c r="S101" s="7">
        <v>0.38350000000000001</v>
      </c>
      <c r="T101">
        <f t="shared" si="13"/>
        <v>0.39650000000000002</v>
      </c>
      <c r="U101">
        <v>22</v>
      </c>
      <c r="V101" s="10">
        <v>0.2848</v>
      </c>
      <c r="W101" s="16">
        <v>0.4602</v>
      </c>
      <c r="X101" s="10">
        <v>0.51549999999999996</v>
      </c>
      <c r="Y101">
        <f t="shared" si="14"/>
        <v>0.42016666666666663</v>
      </c>
    </row>
    <row r="102" spans="1:25" x14ac:dyDescent="0.45">
      <c r="A102">
        <v>23</v>
      </c>
      <c r="B102" s="7">
        <v>0.20080000000000001</v>
      </c>
      <c r="C102" s="7">
        <v>0.129</v>
      </c>
      <c r="D102" s="7">
        <v>0.1726</v>
      </c>
      <c r="E102">
        <f t="shared" si="10"/>
        <v>0.16746666666666665</v>
      </c>
      <c r="F102">
        <v>23</v>
      </c>
      <c r="G102" s="7">
        <v>0.15690000000000001</v>
      </c>
      <c r="H102" s="7">
        <v>0.20180000000000001</v>
      </c>
      <c r="I102" s="7">
        <v>0.29470000000000002</v>
      </c>
      <c r="J102">
        <f t="shared" si="11"/>
        <v>0.21779999999999999</v>
      </c>
      <c r="K102">
        <v>23</v>
      </c>
      <c r="L102" s="16">
        <v>0.28070000000000001</v>
      </c>
      <c r="M102" s="7">
        <v>0.32769999999999999</v>
      </c>
      <c r="N102" s="7">
        <v>0.36990000000000001</v>
      </c>
      <c r="O102">
        <f t="shared" si="12"/>
        <v>0.3261</v>
      </c>
      <c r="P102">
        <v>23</v>
      </c>
      <c r="Q102" s="16">
        <v>0.35189999999999999</v>
      </c>
      <c r="R102" s="7">
        <v>0.52129999999999999</v>
      </c>
      <c r="S102" s="7">
        <v>0.57469999999999999</v>
      </c>
      <c r="T102">
        <f t="shared" si="13"/>
        <v>0.4826333333333333</v>
      </c>
      <c r="U102">
        <v>23</v>
      </c>
      <c r="V102" s="10">
        <v>0.28570000000000001</v>
      </c>
      <c r="W102" s="10">
        <v>0.45939999999999998</v>
      </c>
      <c r="X102" s="10">
        <v>0.4647</v>
      </c>
      <c r="Y102">
        <f t="shared" si="14"/>
        <v>0.40326666666666666</v>
      </c>
    </row>
    <row r="103" spans="1:25" x14ac:dyDescent="0.45">
      <c r="A103">
        <v>24</v>
      </c>
      <c r="B103" s="7">
        <v>0.22620000000000001</v>
      </c>
      <c r="C103" s="7">
        <v>0.10780000000000001</v>
      </c>
      <c r="D103" s="7">
        <v>0.1764</v>
      </c>
      <c r="E103">
        <f t="shared" si="10"/>
        <v>0.17013333333333333</v>
      </c>
      <c r="F103">
        <v>24</v>
      </c>
      <c r="G103" s="7">
        <v>0.2757</v>
      </c>
      <c r="H103" s="16">
        <v>0.22</v>
      </c>
      <c r="I103" s="7">
        <v>0.29949999999999999</v>
      </c>
      <c r="J103">
        <f t="shared" si="11"/>
        <v>0.26506666666666667</v>
      </c>
      <c r="K103">
        <v>24</v>
      </c>
      <c r="L103" s="7">
        <v>0.27029999999999998</v>
      </c>
      <c r="M103" s="16">
        <v>0.33250000000000002</v>
      </c>
      <c r="N103" s="7">
        <v>0.40820000000000001</v>
      </c>
      <c r="O103" s="14">
        <f t="shared" si="12"/>
        <v>0.33700000000000002</v>
      </c>
      <c r="P103">
        <v>24</v>
      </c>
      <c r="Q103" s="7">
        <v>0.33700000000000002</v>
      </c>
      <c r="R103" s="16">
        <v>0.53159999999999996</v>
      </c>
      <c r="S103" s="7">
        <v>0.39939999999999998</v>
      </c>
      <c r="T103">
        <f t="shared" si="13"/>
        <v>0.42266666666666669</v>
      </c>
      <c r="U103">
        <v>24</v>
      </c>
      <c r="V103" s="10">
        <v>0.3271</v>
      </c>
      <c r="W103" s="10">
        <v>0.44700000000000001</v>
      </c>
      <c r="X103" s="10">
        <v>0.46779999999999999</v>
      </c>
      <c r="Y103">
        <f t="shared" si="14"/>
        <v>0.41396666666666665</v>
      </c>
    </row>
    <row r="105" spans="1:25" x14ac:dyDescent="0.45">
      <c r="A105" t="s">
        <v>4</v>
      </c>
      <c r="B105" s="9" t="s">
        <v>31</v>
      </c>
      <c r="C105" s="9" t="s">
        <v>32</v>
      </c>
      <c r="D105" s="9" t="s">
        <v>33</v>
      </c>
      <c r="E105" t="s">
        <v>43</v>
      </c>
      <c r="F105" t="s">
        <v>4</v>
      </c>
      <c r="G105" s="9" t="s">
        <v>19</v>
      </c>
      <c r="H105" s="9" t="s">
        <v>20</v>
      </c>
      <c r="I105" s="9" t="s">
        <v>21</v>
      </c>
      <c r="J105" t="s">
        <v>44</v>
      </c>
      <c r="K105" t="s">
        <v>4</v>
      </c>
      <c r="L105" s="9" t="s">
        <v>22</v>
      </c>
      <c r="M105" s="9" t="s">
        <v>23</v>
      </c>
      <c r="N105" s="9" t="s">
        <v>24</v>
      </c>
      <c r="O105" t="s">
        <v>45</v>
      </c>
      <c r="P105" t="s">
        <v>4</v>
      </c>
      <c r="Q105" s="9" t="s">
        <v>27</v>
      </c>
      <c r="R105" s="9" t="s">
        <v>46</v>
      </c>
      <c r="S105" s="9" t="s">
        <v>47</v>
      </c>
      <c r="T105" t="s">
        <v>48</v>
      </c>
      <c r="U105" t="s">
        <v>4</v>
      </c>
      <c r="V105" s="9" t="s">
        <v>0</v>
      </c>
      <c r="W105" s="9" t="s">
        <v>1</v>
      </c>
      <c r="X105" s="9" t="s">
        <v>2</v>
      </c>
      <c r="Y105" s="8" t="s">
        <v>49</v>
      </c>
    </row>
    <row r="106" spans="1:25" x14ac:dyDescent="0.45">
      <c r="A106">
        <v>1</v>
      </c>
      <c r="B106" s="10">
        <v>0.1598</v>
      </c>
      <c r="C106" s="10">
        <v>0.17130000000000001</v>
      </c>
      <c r="D106" s="10">
        <v>0.1633</v>
      </c>
      <c r="E106">
        <f>AVERAGE(B106:D106)</f>
        <v>0.1648</v>
      </c>
      <c r="F106">
        <v>1</v>
      </c>
      <c r="G106" s="16">
        <v>0.1245</v>
      </c>
      <c r="H106" s="10">
        <v>0.14660000000000001</v>
      </c>
      <c r="I106" s="16">
        <v>0.124</v>
      </c>
      <c r="J106">
        <f>AVERAGE(G106:I106)</f>
        <v>0.13170000000000001</v>
      </c>
      <c r="K106">
        <v>1</v>
      </c>
      <c r="L106" s="16">
        <v>0.106</v>
      </c>
      <c r="M106" s="10">
        <v>0.12239999999999999</v>
      </c>
      <c r="N106" s="10">
        <v>0.20960000000000001</v>
      </c>
      <c r="O106">
        <f>AVERAGE(L106:N106)</f>
        <v>0.14599999999999999</v>
      </c>
      <c r="P106">
        <v>1</v>
      </c>
      <c r="Q106" s="10">
        <v>0.13969999999999999</v>
      </c>
      <c r="R106" s="10">
        <v>0.1246</v>
      </c>
      <c r="S106" s="10">
        <v>0.13350000000000001</v>
      </c>
      <c r="T106">
        <f>AVERAGE(Q106:S106)</f>
        <v>0.1326</v>
      </c>
      <c r="U106">
        <v>1</v>
      </c>
      <c r="V106" s="10">
        <v>0.1706</v>
      </c>
      <c r="W106" s="10">
        <v>0.156</v>
      </c>
      <c r="X106" s="10">
        <v>0.16739999999999999</v>
      </c>
      <c r="Y106">
        <f>AVERAGE(V106:X106)</f>
        <v>0.16466666666666666</v>
      </c>
    </row>
    <row r="107" spans="1:25" x14ac:dyDescent="0.45">
      <c r="A107">
        <v>2</v>
      </c>
      <c r="B107" s="10">
        <v>0.1454</v>
      </c>
      <c r="C107" s="10">
        <v>0.1706</v>
      </c>
      <c r="D107" s="10">
        <v>0.15279999999999999</v>
      </c>
      <c r="E107" s="14">
        <f t="shared" ref="E107:E129" si="15">AVERAGE(B107:D107)</f>
        <v>0.15626666666666666</v>
      </c>
      <c r="F107">
        <v>2</v>
      </c>
      <c r="G107" s="10">
        <v>0.13159999999999999</v>
      </c>
      <c r="H107" s="10">
        <v>0.1338</v>
      </c>
      <c r="I107" s="10">
        <v>0.12089999999999999</v>
      </c>
      <c r="J107" s="14">
        <f t="shared" ref="J107:J129" si="16">AVERAGE(G107:I107)</f>
        <v>0.12876666666666667</v>
      </c>
      <c r="K107">
        <v>2</v>
      </c>
      <c r="L107" s="10">
        <v>0.1065</v>
      </c>
      <c r="M107" s="10">
        <v>0.1147</v>
      </c>
      <c r="N107" s="10">
        <v>0.1145</v>
      </c>
      <c r="O107" s="14">
        <f t="shared" ref="O107:O129" si="17">AVERAGE(L107:N107)</f>
        <v>0.1119</v>
      </c>
      <c r="P107">
        <v>2</v>
      </c>
      <c r="Q107" s="10">
        <v>0.12379999999999999</v>
      </c>
      <c r="R107" s="16">
        <v>0.1183</v>
      </c>
      <c r="S107" s="16">
        <v>0.12139999999999999</v>
      </c>
      <c r="T107" s="14">
        <f t="shared" ref="T107:T129" si="18">AVERAGE(Q107:S107)</f>
        <v>0.12116666666666666</v>
      </c>
      <c r="U107">
        <v>2</v>
      </c>
      <c r="V107" s="10">
        <v>0.15129999999999999</v>
      </c>
      <c r="W107" s="10">
        <v>0.13869999999999999</v>
      </c>
      <c r="X107" s="10">
        <v>0.15160000000000001</v>
      </c>
      <c r="Y107" s="14">
        <f t="shared" ref="Y107:Y129" si="19">AVERAGE(V107:X107)</f>
        <v>0.1472</v>
      </c>
    </row>
    <row r="108" spans="1:25" x14ac:dyDescent="0.45">
      <c r="A108">
        <v>3</v>
      </c>
      <c r="B108" s="16">
        <v>0.14940000000000001</v>
      </c>
      <c r="C108" s="16">
        <v>0.1605</v>
      </c>
      <c r="D108" s="16">
        <v>0.15820000000000001</v>
      </c>
      <c r="E108">
        <f t="shared" si="15"/>
        <v>0.15603333333333333</v>
      </c>
      <c r="F108">
        <v>3</v>
      </c>
      <c r="G108" s="10">
        <v>0.12670000000000001</v>
      </c>
      <c r="H108" s="16">
        <v>0.13289999999999999</v>
      </c>
      <c r="I108" s="10">
        <v>0.122</v>
      </c>
      <c r="J108">
        <f t="shared" si="16"/>
        <v>0.12720000000000001</v>
      </c>
      <c r="K108">
        <v>3</v>
      </c>
      <c r="L108" s="10">
        <v>0.11070000000000001</v>
      </c>
      <c r="M108" s="10">
        <v>0.1113</v>
      </c>
      <c r="N108" s="10">
        <v>0.1134</v>
      </c>
      <c r="O108">
        <f t="shared" si="17"/>
        <v>0.11180000000000001</v>
      </c>
      <c r="P108">
        <v>3</v>
      </c>
      <c r="Q108" s="10">
        <v>0.1246</v>
      </c>
      <c r="R108" s="10">
        <v>0.1208</v>
      </c>
      <c r="S108" s="10">
        <v>0.12570000000000001</v>
      </c>
      <c r="T108">
        <f t="shared" si="18"/>
        <v>0.12369999999999999</v>
      </c>
      <c r="U108">
        <v>3</v>
      </c>
      <c r="V108" s="16">
        <v>0.1555</v>
      </c>
      <c r="W108" s="16">
        <v>0.13769999999999999</v>
      </c>
      <c r="X108" s="16">
        <v>0.157</v>
      </c>
      <c r="Y108">
        <f t="shared" si="19"/>
        <v>0.15006666666666668</v>
      </c>
    </row>
    <row r="109" spans="1:25" x14ac:dyDescent="0.45">
      <c r="A109">
        <v>4</v>
      </c>
      <c r="B109" s="10">
        <v>0.17580000000000001</v>
      </c>
      <c r="C109" s="10">
        <v>0.1749</v>
      </c>
      <c r="D109" s="10">
        <v>0.17960000000000001</v>
      </c>
      <c r="E109">
        <f t="shared" si="15"/>
        <v>0.17676666666666666</v>
      </c>
      <c r="F109">
        <v>4</v>
      </c>
      <c r="G109" s="10">
        <v>0.13669999999999999</v>
      </c>
      <c r="H109" s="10">
        <v>0.14119999999999999</v>
      </c>
      <c r="I109" s="10">
        <v>0.12520000000000001</v>
      </c>
      <c r="J109">
        <f t="shared" si="16"/>
        <v>0.13436666666666666</v>
      </c>
      <c r="K109">
        <v>4</v>
      </c>
      <c r="L109" s="10">
        <v>0.1263</v>
      </c>
      <c r="M109" s="10">
        <v>0.1187</v>
      </c>
      <c r="N109" s="10">
        <v>0.12820000000000001</v>
      </c>
      <c r="O109">
        <f t="shared" si="17"/>
        <v>0.1244</v>
      </c>
      <c r="P109">
        <v>4</v>
      </c>
      <c r="Q109" s="10">
        <v>0.1318</v>
      </c>
      <c r="R109" s="10">
        <v>0.13139999999999999</v>
      </c>
      <c r="S109" s="10">
        <v>0.1305</v>
      </c>
      <c r="T109">
        <f t="shared" si="18"/>
        <v>0.13123333333333334</v>
      </c>
      <c r="U109">
        <v>4</v>
      </c>
      <c r="V109" s="10">
        <v>0.1754</v>
      </c>
      <c r="W109" s="10">
        <v>0.16589999999999999</v>
      </c>
      <c r="X109" s="10">
        <v>0.1744</v>
      </c>
      <c r="Y109">
        <f t="shared" si="19"/>
        <v>0.17190000000000003</v>
      </c>
    </row>
    <row r="110" spans="1:25" x14ac:dyDescent="0.45">
      <c r="A110">
        <v>5</v>
      </c>
      <c r="B110" s="10">
        <v>0.18140000000000001</v>
      </c>
      <c r="C110" s="10">
        <v>0.20449999999999999</v>
      </c>
      <c r="D110" s="10">
        <v>0.18</v>
      </c>
      <c r="E110">
        <f t="shared" si="15"/>
        <v>0.18863333333333335</v>
      </c>
      <c r="F110">
        <v>5</v>
      </c>
      <c r="G110" s="10">
        <v>0.13880000000000001</v>
      </c>
      <c r="H110" s="10">
        <v>0.14319999999999999</v>
      </c>
      <c r="I110" s="10">
        <v>0.12970000000000001</v>
      </c>
      <c r="J110">
        <f t="shared" si="16"/>
        <v>0.13723333333333335</v>
      </c>
      <c r="K110">
        <v>5</v>
      </c>
      <c r="L110" s="10">
        <v>0.12770000000000001</v>
      </c>
      <c r="M110" s="10">
        <v>0.1115</v>
      </c>
      <c r="N110" s="10">
        <v>0.12189999999999999</v>
      </c>
      <c r="O110">
        <f t="shared" si="17"/>
        <v>0.12036666666666668</v>
      </c>
      <c r="P110">
        <v>5</v>
      </c>
      <c r="Q110" s="10">
        <v>0.13120000000000001</v>
      </c>
      <c r="R110" s="10">
        <v>0.1305</v>
      </c>
      <c r="S110" s="10">
        <v>0.12609999999999999</v>
      </c>
      <c r="T110">
        <f t="shared" si="18"/>
        <v>0.12926666666666667</v>
      </c>
      <c r="U110">
        <v>5</v>
      </c>
      <c r="V110" s="10">
        <v>0.188</v>
      </c>
      <c r="W110" s="10">
        <v>0.17150000000000001</v>
      </c>
      <c r="X110" s="10">
        <v>0.17069999999999999</v>
      </c>
      <c r="Y110">
        <f t="shared" si="19"/>
        <v>0.17673333333333333</v>
      </c>
    </row>
    <row r="111" spans="1:25" x14ac:dyDescent="0.45">
      <c r="A111">
        <v>6</v>
      </c>
      <c r="B111" s="10">
        <v>0.19819999999999999</v>
      </c>
      <c r="C111" s="10">
        <v>0.2109</v>
      </c>
      <c r="D111" s="10">
        <v>0.2</v>
      </c>
      <c r="E111">
        <f t="shared" si="15"/>
        <v>0.20303333333333332</v>
      </c>
      <c r="F111">
        <v>6</v>
      </c>
      <c r="G111" s="10">
        <v>0.15010000000000001</v>
      </c>
      <c r="H111" s="10">
        <v>0.16470000000000001</v>
      </c>
      <c r="I111" s="10">
        <v>0.14069999999999999</v>
      </c>
      <c r="J111">
        <f t="shared" si="16"/>
        <v>0.15183333333333335</v>
      </c>
      <c r="K111">
        <v>6</v>
      </c>
      <c r="L111" s="10">
        <v>0.14399999999999999</v>
      </c>
      <c r="M111" s="10">
        <v>0.13239999999999999</v>
      </c>
      <c r="N111" s="10">
        <v>0.13300000000000001</v>
      </c>
      <c r="O111">
        <f t="shared" si="17"/>
        <v>0.13646666666666665</v>
      </c>
      <c r="P111">
        <v>6</v>
      </c>
      <c r="Q111" s="10">
        <v>0.14360000000000001</v>
      </c>
      <c r="R111" s="10">
        <v>0.12859999999999999</v>
      </c>
      <c r="S111" s="10">
        <v>0.13619999999999999</v>
      </c>
      <c r="T111">
        <f t="shared" si="18"/>
        <v>0.13613333333333333</v>
      </c>
      <c r="U111">
        <v>6</v>
      </c>
      <c r="V111" s="10">
        <v>0.1923</v>
      </c>
      <c r="W111" s="10">
        <v>0.1762</v>
      </c>
      <c r="X111" s="10">
        <v>0.1739</v>
      </c>
      <c r="Y111">
        <f t="shared" si="19"/>
        <v>0.18079999999999999</v>
      </c>
    </row>
    <row r="112" spans="1:25" x14ac:dyDescent="0.45">
      <c r="A112">
        <v>7</v>
      </c>
      <c r="B112" s="10">
        <v>0.19969999999999999</v>
      </c>
      <c r="C112" s="10">
        <v>0.22939999999999999</v>
      </c>
      <c r="D112" s="10">
        <v>0.2127</v>
      </c>
      <c r="E112">
        <f t="shared" si="15"/>
        <v>0.21393333333333331</v>
      </c>
      <c r="F112">
        <v>7</v>
      </c>
      <c r="G112" s="10">
        <v>0.16339999999999999</v>
      </c>
      <c r="H112" s="10">
        <v>0.1636</v>
      </c>
      <c r="I112" s="10">
        <v>0.14410000000000001</v>
      </c>
      <c r="J112">
        <f t="shared" si="16"/>
        <v>0.15703333333333333</v>
      </c>
      <c r="K112">
        <v>7</v>
      </c>
      <c r="L112" s="10">
        <v>0.1333</v>
      </c>
      <c r="M112" s="10">
        <v>0.13189999999999999</v>
      </c>
      <c r="N112" s="10">
        <v>0.1822</v>
      </c>
      <c r="O112">
        <f t="shared" si="17"/>
        <v>0.14913333333333334</v>
      </c>
      <c r="P112">
        <v>7</v>
      </c>
      <c r="Q112" s="10">
        <v>0.15060000000000001</v>
      </c>
      <c r="R112" s="10">
        <v>0.1512</v>
      </c>
      <c r="S112" s="10">
        <v>0.13200000000000001</v>
      </c>
      <c r="T112">
        <f t="shared" si="18"/>
        <v>0.14460000000000001</v>
      </c>
      <c r="U112">
        <v>7</v>
      </c>
      <c r="V112" s="10">
        <v>0.20319999999999999</v>
      </c>
      <c r="W112" s="10">
        <v>0.18290000000000001</v>
      </c>
      <c r="X112" s="10">
        <v>0.19969999999999999</v>
      </c>
      <c r="Y112">
        <f t="shared" si="19"/>
        <v>0.19526666666666667</v>
      </c>
    </row>
    <row r="113" spans="1:25" x14ac:dyDescent="0.45">
      <c r="A113">
        <v>8</v>
      </c>
      <c r="B113" s="10">
        <v>0.20880000000000001</v>
      </c>
      <c r="C113" s="10">
        <v>0.24540000000000001</v>
      </c>
      <c r="D113" s="10">
        <v>0.2165</v>
      </c>
      <c r="E113">
        <f t="shared" si="15"/>
        <v>0.22356666666666669</v>
      </c>
      <c r="F113">
        <v>8</v>
      </c>
      <c r="G113" s="10">
        <v>0.1681</v>
      </c>
      <c r="H113" s="10">
        <v>0.17349999999999999</v>
      </c>
      <c r="I113" s="10">
        <v>0.14610000000000001</v>
      </c>
      <c r="J113">
        <f t="shared" si="16"/>
        <v>0.16256666666666666</v>
      </c>
      <c r="K113">
        <v>8</v>
      </c>
      <c r="L113" s="10">
        <v>0.13569999999999999</v>
      </c>
      <c r="M113" s="10">
        <v>0.15229999999999999</v>
      </c>
      <c r="N113" s="10">
        <v>0.17829999999999999</v>
      </c>
      <c r="O113">
        <f t="shared" si="17"/>
        <v>0.15543333333333331</v>
      </c>
      <c r="P113">
        <v>8</v>
      </c>
      <c r="Q113" s="10">
        <v>0.15939999999999999</v>
      </c>
      <c r="R113" s="10">
        <v>0.15920000000000001</v>
      </c>
      <c r="S113" s="10">
        <v>0.15740000000000001</v>
      </c>
      <c r="T113">
        <f t="shared" si="18"/>
        <v>0.15866666666666665</v>
      </c>
      <c r="U113">
        <v>8</v>
      </c>
      <c r="V113" s="10">
        <v>0.20200000000000001</v>
      </c>
      <c r="W113" s="10">
        <v>0.1925</v>
      </c>
      <c r="X113" s="10">
        <v>0.19969999999999999</v>
      </c>
      <c r="Y113">
        <f t="shared" si="19"/>
        <v>0.1980666666666667</v>
      </c>
    </row>
    <row r="114" spans="1:25" x14ac:dyDescent="0.45">
      <c r="A114">
        <v>9</v>
      </c>
      <c r="B114" s="10">
        <v>0.22070000000000001</v>
      </c>
      <c r="C114" s="10">
        <v>0.26700000000000002</v>
      </c>
      <c r="D114" s="10">
        <v>0.22450000000000001</v>
      </c>
      <c r="E114">
        <f t="shared" si="15"/>
        <v>0.23740000000000003</v>
      </c>
      <c r="F114">
        <v>9</v>
      </c>
      <c r="G114" s="10">
        <v>0.18529999999999999</v>
      </c>
      <c r="H114" s="10">
        <v>0.18459999999999999</v>
      </c>
      <c r="I114" s="10">
        <v>0.1545</v>
      </c>
      <c r="J114">
        <f t="shared" si="16"/>
        <v>0.17479999999999998</v>
      </c>
      <c r="K114">
        <v>9</v>
      </c>
      <c r="L114" s="10">
        <v>0.15670000000000001</v>
      </c>
      <c r="M114" s="10">
        <v>0.1779</v>
      </c>
      <c r="N114" s="10">
        <v>0.23799999999999999</v>
      </c>
      <c r="O114">
        <f t="shared" si="17"/>
        <v>0.19086666666666666</v>
      </c>
      <c r="P114">
        <v>9</v>
      </c>
      <c r="Q114" s="10">
        <v>0.16120000000000001</v>
      </c>
      <c r="R114" s="10">
        <v>0.15429999999999999</v>
      </c>
      <c r="S114" s="10">
        <v>0.1704</v>
      </c>
      <c r="T114">
        <f t="shared" si="18"/>
        <v>0.16196666666666668</v>
      </c>
      <c r="U114">
        <v>9</v>
      </c>
      <c r="V114" s="10">
        <v>0.22359999999999999</v>
      </c>
      <c r="W114" s="10">
        <v>0.20250000000000001</v>
      </c>
      <c r="X114" s="10">
        <v>0.22600000000000001</v>
      </c>
      <c r="Y114">
        <f t="shared" si="19"/>
        <v>0.21736666666666668</v>
      </c>
    </row>
    <row r="115" spans="1:25" x14ac:dyDescent="0.45">
      <c r="A115">
        <v>10</v>
      </c>
      <c r="B115" s="10">
        <v>0.23069999999999999</v>
      </c>
      <c r="C115" s="16">
        <v>0.28349999999999997</v>
      </c>
      <c r="D115" s="10">
        <v>0.25890000000000002</v>
      </c>
      <c r="E115">
        <f t="shared" si="15"/>
        <v>0.25769999999999998</v>
      </c>
      <c r="F115">
        <v>10</v>
      </c>
      <c r="G115" s="10">
        <v>0.19359999999999999</v>
      </c>
      <c r="H115" s="10">
        <v>0.18129999999999999</v>
      </c>
      <c r="I115" s="10">
        <v>0.14760000000000001</v>
      </c>
      <c r="J115">
        <f t="shared" si="16"/>
        <v>0.17416666666666666</v>
      </c>
      <c r="K115">
        <v>10</v>
      </c>
      <c r="L115" s="10">
        <v>0.16400000000000001</v>
      </c>
      <c r="M115" s="10">
        <v>0.1961</v>
      </c>
      <c r="N115" s="10">
        <v>0.22359999999999999</v>
      </c>
      <c r="O115" s="14">
        <f t="shared" si="17"/>
        <v>0.19456666666666667</v>
      </c>
      <c r="P115">
        <v>10</v>
      </c>
      <c r="Q115" s="10">
        <v>0.1656</v>
      </c>
      <c r="R115" s="10">
        <v>0.1537</v>
      </c>
      <c r="S115" s="10">
        <v>0.16950000000000001</v>
      </c>
      <c r="T115">
        <f t="shared" si="18"/>
        <v>0.16293333333333335</v>
      </c>
      <c r="U115">
        <v>10</v>
      </c>
      <c r="V115" s="10">
        <v>0.2485</v>
      </c>
      <c r="W115" s="10">
        <v>0.21410000000000001</v>
      </c>
      <c r="X115" s="10">
        <v>0.23860000000000001</v>
      </c>
      <c r="Y115">
        <f t="shared" si="19"/>
        <v>0.23373333333333335</v>
      </c>
    </row>
    <row r="116" spans="1:25" x14ac:dyDescent="0.45">
      <c r="A116">
        <v>11</v>
      </c>
      <c r="B116" s="10">
        <v>0.2485</v>
      </c>
      <c r="C116" s="10">
        <v>0.31409999999999999</v>
      </c>
      <c r="D116" s="10">
        <v>0.26519999999999999</v>
      </c>
      <c r="E116">
        <f t="shared" si="15"/>
        <v>0.27593333333333331</v>
      </c>
      <c r="F116">
        <v>11</v>
      </c>
      <c r="G116" s="10">
        <v>0.191</v>
      </c>
      <c r="H116" s="10">
        <v>0.2092</v>
      </c>
      <c r="I116" s="10">
        <v>0.156</v>
      </c>
      <c r="J116">
        <f t="shared" si="16"/>
        <v>0.18540000000000001</v>
      </c>
      <c r="K116">
        <v>11</v>
      </c>
      <c r="L116" s="16">
        <v>0.18149999999999999</v>
      </c>
      <c r="M116" s="10">
        <v>0.155</v>
      </c>
      <c r="N116" s="10">
        <v>0.2389</v>
      </c>
      <c r="O116">
        <f t="shared" si="17"/>
        <v>0.1918</v>
      </c>
      <c r="P116">
        <v>11</v>
      </c>
      <c r="Q116" s="10">
        <v>0.17780000000000001</v>
      </c>
      <c r="R116" s="10">
        <v>0.16819999999999999</v>
      </c>
      <c r="S116" s="10">
        <v>0.1691</v>
      </c>
      <c r="T116">
        <f t="shared" si="18"/>
        <v>0.17169999999999999</v>
      </c>
      <c r="U116">
        <v>11</v>
      </c>
      <c r="V116" s="10">
        <v>0.25019999999999998</v>
      </c>
      <c r="W116" s="10">
        <v>0.22070000000000001</v>
      </c>
      <c r="X116" s="10">
        <v>0.2555</v>
      </c>
      <c r="Y116">
        <f t="shared" si="19"/>
        <v>0.24213333333333331</v>
      </c>
    </row>
    <row r="117" spans="1:25" x14ac:dyDescent="0.45">
      <c r="A117">
        <v>12</v>
      </c>
      <c r="B117" s="10">
        <v>0.25559999999999999</v>
      </c>
      <c r="C117" s="10">
        <v>0.30730000000000002</v>
      </c>
      <c r="D117" s="10">
        <v>0.25509999999999999</v>
      </c>
      <c r="E117">
        <f t="shared" si="15"/>
        <v>0.27266666666666667</v>
      </c>
      <c r="F117">
        <v>12</v>
      </c>
      <c r="G117" s="10">
        <v>0.2044</v>
      </c>
      <c r="H117" s="10">
        <v>0.20219999999999999</v>
      </c>
      <c r="I117" s="10">
        <v>0.16</v>
      </c>
      <c r="J117">
        <f t="shared" si="16"/>
        <v>0.18886666666666665</v>
      </c>
      <c r="K117">
        <v>12</v>
      </c>
      <c r="L117" s="10">
        <v>0.1691</v>
      </c>
      <c r="M117" s="10">
        <v>0.1762</v>
      </c>
      <c r="N117" s="10">
        <v>0.1966</v>
      </c>
      <c r="O117">
        <f t="shared" si="17"/>
        <v>0.18063333333333334</v>
      </c>
      <c r="P117">
        <v>12</v>
      </c>
      <c r="Q117" s="10">
        <v>0.1565</v>
      </c>
      <c r="R117" s="10">
        <v>0.17369999999999999</v>
      </c>
      <c r="S117" s="10">
        <v>0.1764</v>
      </c>
      <c r="T117">
        <f t="shared" si="18"/>
        <v>0.16886666666666664</v>
      </c>
      <c r="U117">
        <v>12</v>
      </c>
      <c r="V117" s="10">
        <v>0.26390000000000002</v>
      </c>
      <c r="W117" s="10">
        <v>0.23089999999999999</v>
      </c>
      <c r="X117" s="10">
        <v>0.26040000000000002</v>
      </c>
      <c r="Y117">
        <f t="shared" si="19"/>
        <v>0.25173333333333336</v>
      </c>
    </row>
    <row r="118" spans="1:25" x14ac:dyDescent="0.45">
      <c r="A118">
        <v>13</v>
      </c>
      <c r="B118" s="10">
        <v>0.25879999999999997</v>
      </c>
      <c r="C118" s="10">
        <v>0.32169999999999999</v>
      </c>
      <c r="D118" s="10">
        <v>0.29630000000000001</v>
      </c>
      <c r="E118">
        <f t="shared" si="15"/>
        <v>0.29226666666666667</v>
      </c>
      <c r="F118">
        <v>13</v>
      </c>
      <c r="G118" s="10">
        <v>0.21029999999999999</v>
      </c>
      <c r="H118" s="10">
        <v>0.2014</v>
      </c>
      <c r="I118" s="10">
        <v>0.17430000000000001</v>
      </c>
      <c r="J118">
        <f t="shared" si="16"/>
        <v>0.19533333333333333</v>
      </c>
      <c r="K118">
        <v>13</v>
      </c>
      <c r="L118" s="10">
        <v>0.17960000000000001</v>
      </c>
      <c r="M118" s="10">
        <v>0.152</v>
      </c>
      <c r="N118" s="10">
        <v>0.22140000000000001</v>
      </c>
      <c r="O118">
        <f t="shared" si="17"/>
        <v>0.18433333333333335</v>
      </c>
      <c r="P118">
        <v>13</v>
      </c>
      <c r="Q118" s="10">
        <v>0.1749</v>
      </c>
      <c r="R118" s="10">
        <v>0.17949999999999999</v>
      </c>
      <c r="S118" s="10">
        <v>0.18129999999999999</v>
      </c>
      <c r="T118">
        <f t="shared" si="18"/>
        <v>0.17856666666666665</v>
      </c>
      <c r="U118">
        <v>13</v>
      </c>
      <c r="V118" s="10">
        <v>0.26650000000000001</v>
      </c>
      <c r="W118" s="10">
        <v>0.246</v>
      </c>
      <c r="X118" s="10">
        <v>0.27410000000000001</v>
      </c>
      <c r="Y118">
        <f t="shared" si="19"/>
        <v>0.26219999999999999</v>
      </c>
    </row>
    <row r="119" spans="1:25" x14ac:dyDescent="0.45">
      <c r="A119">
        <v>14</v>
      </c>
      <c r="B119" s="10">
        <v>0.27679999999999999</v>
      </c>
      <c r="C119" s="10">
        <v>0.31230000000000002</v>
      </c>
      <c r="D119" s="10">
        <v>0.31590000000000001</v>
      </c>
      <c r="E119">
        <f t="shared" si="15"/>
        <v>0.30166666666666669</v>
      </c>
      <c r="F119">
        <v>14</v>
      </c>
      <c r="G119" s="10">
        <v>0.2056</v>
      </c>
      <c r="H119" s="10">
        <v>0.23780000000000001</v>
      </c>
      <c r="I119" s="10">
        <v>0.1716</v>
      </c>
      <c r="J119">
        <f t="shared" si="16"/>
        <v>0.20499999999999999</v>
      </c>
      <c r="K119">
        <v>14</v>
      </c>
      <c r="L119" s="10">
        <v>0.14560000000000001</v>
      </c>
      <c r="M119" s="10">
        <v>0.18140000000000001</v>
      </c>
      <c r="N119" s="10">
        <v>0.18509999999999999</v>
      </c>
      <c r="O119">
        <f t="shared" si="17"/>
        <v>0.17069999999999999</v>
      </c>
      <c r="P119">
        <v>14</v>
      </c>
      <c r="Q119" s="10">
        <v>0.20380000000000001</v>
      </c>
      <c r="R119" s="10">
        <v>0.1835</v>
      </c>
      <c r="S119" s="10">
        <v>0.20050000000000001</v>
      </c>
      <c r="T119">
        <f t="shared" si="18"/>
        <v>0.19593333333333332</v>
      </c>
      <c r="U119">
        <v>14</v>
      </c>
      <c r="V119" s="10">
        <v>0.27810000000000001</v>
      </c>
      <c r="W119" s="10">
        <v>0.25130000000000002</v>
      </c>
      <c r="X119" s="10">
        <v>0.29020000000000001</v>
      </c>
      <c r="Y119">
        <f t="shared" si="19"/>
        <v>0.27320000000000005</v>
      </c>
    </row>
    <row r="120" spans="1:25" x14ac:dyDescent="0.45">
      <c r="A120">
        <v>15</v>
      </c>
      <c r="B120" s="10">
        <v>0.26840000000000003</v>
      </c>
      <c r="C120" s="10">
        <v>0.28820000000000001</v>
      </c>
      <c r="D120" s="10">
        <v>0.31890000000000002</v>
      </c>
      <c r="E120">
        <f t="shared" si="15"/>
        <v>0.29183333333333333</v>
      </c>
      <c r="F120">
        <v>15</v>
      </c>
      <c r="G120" s="16">
        <v>0.2238</v>
      </c>
      <c r="H120" s="16">
        <v>0.24490000000000001</v>
      </c>
      <c r="I120" s="10">
        <v>0.17760000000000001</v>
      </c>
      <c r="J120" s="14">
        <f t="shared" si="16"/>
        <v>0.21543333333333334</v>
      </c>
      <c r="K120">
        <v>15</v>
      </c>
      <c r="L120" s="10">
        <v>0.14699999999999999</v>
      </c>
      <c r="M120" s="10">
        <v>0.17460000000000001</v>
      </c>
      <c r="N120" s="10">
        <v>0.23899999999999999</v>
      </c>
      <c r="O120">
        <f t="shared" si="17"/>
        <v>0.18686666666666665</v>
      </c>
      <c r="P120">
        <v>15</v>
      </c>
      <c r="Q120" s="10">
        <v>0.1981</v>
      </c>
      <c r="R120" s="10">
        <v>0.19600000000000001</v>
      </c>
      <c r="S120" s="10">
        <v>0.20580000000000001</v>
      </c>
      <c r="T120">
        <f t="shared" si="18"/>
        <v>0.19996666666666665</v>
      </c>
      <c r="U120">
        <v>15</v>
      </c>
      <c r="V120" s="10">
        <v>0.28670000000000001</v>
      </c>
      <c r="W120" s="10">
        <v>0.2707</v>
      </c>
      <c r="X120" s="10">
        <v>0.31519999999999998</v>
      </c>
      <c r="Y120">
        <f t="shared" si="19"/>
        <v>0.29086666666666666</v>
      </c>
    </row>
    <row r="121" spans="1:25" x14ac:dyDescent="0.45">
      <c r="A121">
        <v>16</v>
      </c>
      <c r="B121" s="10">
        <v>0.28739999999999999</v>
      </c>
      <c r="C121" s="10">
        <v>0.2903</v>
      </c>
      <c r="D121" s="10">
        <v>0.34079999999999999</v>
      </c>
      <c r="E121">
        <f t="shared" si="15"/>
        <v>0.30616666666666664</v>
      </c>
      <c r="F121">
        <v>16</v>
      </c>
      <c r="G121" s="10">
        <v>0.22320000000000001</v>
      </c>
      <c r="H121" s="10">
        <v>0.2487</v>
      </c>
      <c r="I121" s="10">
        <v>0.18210000000000001</v>
      </c>
      <c r="J121">
        <f t="shared" si="16"/>
        <v>0.218</v>
      </c>
      <c r="K121">
        <v>16</v>
      </c>
      <c r="L121" s="10">
        <v>0.1444</v>
      </c>
      <c r="M121" s="10">
        <v>0.1779</v>
      </c>
      <c r="N121" s="10">
        <v>0.1993</v>
      </c>
      <c r="O121">
        <f t="shared" si="17"/>
        <v>0.1738666666666667</v>
      </c>
      <c r="P121">
        <v>16</v>
      </c>
      <c r="Q121" s="10">
        <v>0.19020000000000001</v>
      </c>
      <c r="R121" s="10">
        <v>0.1971</v>
      </c>
      <c r="S121" s="10">
        <v>0.22059999999999999</v>
      </c>
      <c r="T121">
        <f t="shared" si="18"/>
        <v>0.20263333333333333</v>
      </c>
      <c r="U121">
        <v>16</v>
      </c>
      <c r="V121" s="10">
        <v>0.307</v>
      </c>
      <c r="W121" s="10">
        <v>0.28720000000000001</v>
      </c>
      <c r="X121" s="10">
        <v>0.33169999999999999</v>
      </c>
      <c r="Y121">
        <f t="shared" si="19"/>
        <v>0.30863333333333337</v>
      </c>
    </row>
    <row r="122" spans="1:25" x14ac:dyDescent="0.45">
      <c r="A122">
        <v>17</v>
      </c>
      <c r="B122" s="10">
        <v>0.2858</v>
      </c>
      <c r="C122" s="10">
        <v>0.33389999999999997</v>
      </c>
      <c r="D122" s="10">
        <v>0.34289999999999998</v>
      </c>
      <c r="E122">
        <f t="shared" si="15"/>
        <v>0.32086666666666663</v>
      </c>
      <c r="F122">
        <v>17</v>
      </c>
      <c r="G122" s="10">
        <v>0.2132</v>
      </c>
      <c r="H122" s="10">
        <v>0.24229999999999999</v>
      </c>
      <c r="I122" s="10">
        <v>0.18429999999999999</v>
      </c>
      <c r="J122">
        <f t="shared" si="16"/>
        <v>0.21326666666666669</v>
      </c>
      <c r="K122">
        <v>17</v>
      </c>
      <c r="L122" s="10">
        <v>0.15240000000000001</v>
      </c>
      <c r="M122" s="10">
        <v>0.17230000000000001</v>
      </c>
      <c r="N122" s="10">
        <v>0.1845</v>
      </c>
      <c r="O122">
        <f t="shared" si="17"/>
        <v>0.16973333333333332</v>
      </c>
      <c r="P122">
        <v>17</v>
      </c>
      <c r="Q122" s="10">
        <v>0.19739999999999999</v>
      </c>
      <c r="R122" s="10">
        <v>0.20150000000000001</v>
      </c>
      <c r="S122" s="10">
        <v>0.22950000000000001</v>
      </c>
      <c r="T122">
        <f t="shared" si="18"/>
        <v>0.20946666666666669</v>
      </c>
      <c r="U122">
        <v>17</v>
      </c>
      <c r="V122" s="10">
        <v>0.30220000000000002</v>
      </c>
      <c r="W122" s="10">
        <v>0.29859999999999998</v>
      </c>
      <c r="X122" s="10">
        <v>0.34379999999999999</v>
      </c>
      <c r="Y122">
        <f t="shared" si="19"/>
        <v>0.31486666666666668</v>
      </c>
    </row>
    <row r="123" spans="1:25" x14ac:dyDescent="0.45">
      <c r="A123">
        <v>18</v>
      </c>
      <c r="B123" s="10">
        <v>0.30220000000000002</v>
      </c>
      <c r="C123" s="10">
        <v>0.38569999999999999</v>
      </c>
      <c r="D123" s="10">
        <v>0.36480000000000001</v>
      </c>
      <c r="E123" s="14">
        <f t="shared" si="15"/>
        <v>0.35089999999999999</v>
      </c>
      <c r="F123">
        <v>18</v>
      </c>
      <c r="G123" s="10">
        <v>0.17929999999999999</v>
      </c>
      <c r="H123" s="10">
        <v>0.245</v>
      </c>
      <c r="I123" s="10">
        <v>0.19550000000000001</v>
      </c>
      <c r="J123">
        <f t="shared" si="16"/>
        <v>0.20660000000000001</v>
      </c>
      <c r="K123">
        <v>18</v>
      </c>
      <c r="L123" s="10">
        <v>0.15390000000000001</v>
      </c>
      <c r="M123" s="10">
        <v>0.1915</v>
      </c>
      <c r="N123" s="10">
        <v>0.21279999999999999</v>
      </c>
      <c r="O123">
        <f t="shared" si="17"/>
        <v>0.18606666666666669</v>
      </c>
      <c r="P123">
        <v>18</v>
      </c>
      <c r="Q123" s="10">
        <v>0.20960000000000001</v>
      </c>
      <c r="R123" s="10">
        <v>0.2114</v>
      </c>
      <c r="S123" s="10">
        <v>0.22040000000000001</v>
      </c>
      <c r="T123">
        <f t="shared" si="18"/>
        <v>0.21380000000000002</v>
      </c>
      <c r="U123">
        <v>18</v>
      </c>
      <c r="V123" s="10">
        <v>0.2989</v>
      </c>
      <c r="W123" s="10">
        <v>0.29820000000000002</v>
      </c>
      <c r="X123" s="10">
        <v>0.36549999999999999</v>
      </c>
      <c r="Y123">
        <f t="shared" si="19"/>
        <v>0.32086666666666663</v>
      </c>
    </row>
    <row r="124" spans="1:25" x14ac:dyDescent="0.45">
      <c r="A124">
        <v>19</v>
      </c>
      <c r="B124" s="16">
        <v>0.30830000000000002</v>
      </c>
      <c r="C124" s="10">
        <v>0.41099999999999998</v>
      </c>
      <c r="D124" s="10">
        <v>0.4209</v>
      </c>
      <c r="E124">
        <f t="shared" si="15"/>
        <v>0.38006666666666672</v>
      </c>
      <c r="F124">
        <v>19</v>
      </c>
      <c r="G124" s="10">
        <v>0.1255</v>
      </c>
      <c r="H124" s="10">
        <v>0.19089999999999999</v>
      </c>
      <c r="I124" s="10">
        <v>0.2319</v>
      </c>
      <c r="J124">
        <f t="shared" si="16"/>
        <v>0.18276666666666666</v>
      </c>
      <c r="K124">
        <v>19</v>
      </c>
      <c r="L124" s="10">
        <v>0.18509999999999999</v>
      </c>
      <c r="M124" s="10">
        <v>0.15260000000000001</v>
      </c>
      <c r="N124" s="10">
        <v>0.1069</v>
      </c>
      <c r="O124">
        <f t="shared" si="17"/>
        <v>0.1482</v>
      </c>
      <c r="P124">
        <v>19</v>
      </c>
      <c r="Q124" s="10">
        <v>0.1888</v>
      </c>
      <c r="R124" s="10">
        <v>0.20660000000000001</v>
      </c>
      <c r="S124" s="10">
        <v>0.23480000000000001</v>
      </c>
      <c r="T124">
        <f t="shared" si="18"/>
        <v>0.21006666666666665</v>
      </c>
      <c r="U124">
        <v>19</v>
      </c>
      <c r="V124" s="10">
        <v>0.31559999999999999</v>
      </c>
      <c r="W124" s="10">
        <v>0.30249999999999999</v>
      </c>
      <c r="X124" s="10">
        <v>0.39019999999999999</v>
      </c>
      <c r="Y124">
        <f t="shared" si="19"/>
        <v>0.33610000000000001</v>
      </c>
    </row>
    <row r="125" spans="1:25" x14ac:dyDescent="0.45">
      <c r="A125">
        <v>20</v>
      </c>
      <c r="B125" s="10">
        <v>0.3034</v>
      </c>
      <c r="C125" s="10">
        <v>0.38979999999999998</v>
      </c>
      <c r="D125" s="10">
        <v>0.44059999999999999</v>
      </c>
      <c r="E125">
        <f t="shared" si="15"/>
        <v>0.37793333333333329</v>
      </c>
      <c r="F125">
        <v>20</v>
      </c>
      <c r="G125" s="10">
        <v>0.10589999999999999</v>
      </c>
      <c r="H125" s="10">
        <v>0.12820000000000001</v>
      </c>
      <c r="I125" s="10">
        <v>0.23219999999999999</v>
      </c>
      <c r="J125">
        <f t="shared" si="16"/>
        <v>0.15543333333333334</v>
      </c>
      <c r="K125">
        <v>20</v>
      </c>
      <c r="L125" s="10">
        <v>0.17380000000000001</v>
      </c>
      <c r="M125" s="10">
        <v>0.1086</v>
      </c>
      <c r="N125" s="10">
        <v>9.8100000000000007E-2</v>
      </c>
      <c r="O125">
        <f t="shared" si="17"/>
        <v>0.12683333333333333</v>
      </c>
      <c r="P125">
        <v>20</v>
      </c>
      <c r="Q125" s="10">
        <v>0.20419999999999999</v>
      </c>
      <c r="R125" s="10">
        <v>0.214</v>
      </c>
      <c r="S125" s="10">
        <v>0.2424</v>
      </c>
      <c r="T125">
        <f t="shared" si="18"/>
        <v>0.22020000000000003</v>
      </c>
      <c r="U125">
        <v>20</v>
      </c>
      <c r="V125" s="10">
        <v>0.3216</v>
      </c>
      <c r="W125" s="10">
        <v>0.31540000000000001</v>
      </c>
      <c r="X125" s="10">
        <v>0.42420000000000002</v>
      </c>
      <c r="Y125">
        <f t="shared" si="19"/>
        <v>0.35373333333333329</v>
      </c>
    </row>
    <row r="126" spans="1:25" x14ac:dyDescent="0.45">
      <c r="A126">
        <v>21</v>
      </c>
      <c r="B126" s="10">
        <v>0.29070000000000001</v>
      </c>
      <c r="C126" s="10">
        <v>0.41049999999999998</v>
      </c>
      <c r="D126" s="10">
        <v>0.4244</v>
      </c>
      <c r="E126">
        <f t="shared" si="15"/>
        <v>0.37519999999999998</v>
      </c>
      <c r="F126">
        <v>21</v>
      </c>
      <c r="G126" s="10">
        <v>9.8199999999999996E-2</v>
      </c>
      <c r="H126" s="10">
        <v>0.1012</v>
      </c>
      <c r="I126" s="10">
        <v>0.20399999999999999</v>
      </c>
      <c r="J126">
        <f t="shared" si="16"/>
        <v>0.13446666666666665</v>
      </c>
      <c r="K126">
        <v>21</v>
      </c>
      <c r="L126" s="10">
        <v>0.18529999999999999</v>
      </c>
      <c r="M126" s="10">
        <v>9.69E-2</v>
      </c>
      <c r="N126" s="10">
        <v>9.9500000000000005E-2</v>
      </c>
      <c r="O126">
        <f t="shared" si="17"/>
        <v>0.12723333333333334</v>
      </c>
      <c r="P126">
        <v>21</v>
      </c>
      <c r="Q126" s="10">
        <v>0.19209999999999999</v>
      </c>
      <c r="R126" s="10">
        <v>0.216</v>
      </c>
      <c r="S126" s="10">
        <v>0.24199999999999999</v>
      </c>
      <c r="T126">
        <f t="shared" si="18"/>
        <v>0.2167</v>
      </c>
      <c r="U126">
        <v>21</v>
      </c>
      <c r="V126" s="10">
        <v>0.30959999999999999</v>
      </c>
      <c r="W126" s="10">
        <v>0.31409999999999999</v>
      </c>
      <c r="X126" s="10">
        <v>0.43740000000000001</v>
      </c>
      <c r="Y126">
        <f t="shared" si="19"/>
        <v>0.35369999999999996</v>
      </c>
    </row>
    <row r="127" spans="1:25" x14ac:dyDescent="0.45">
      <c r="A127">
        <v>22</v>
      </c>
      <c r="B127" s="10">
        <v>0.2432</v>
      </c>
      <c r="C127" s="10">
        <v>0.34129999999999999</v>
      </c>
      <c r="D127" s="10">
        <v>0.40589999999999998</v>
      </c>
      <c r="E127">
        <f t="shared" si="15"/>
        <v>0.33013333333333333</v>
      </c>
      <c r="F127">
        <v>22</v>
      </c>
      <c r="G127" s="10">
        <v>0.1031</v>
      </c>
      <c r="H127" s="10">
        <v>9.8100000000000007E-2</v>
      </c>
      <c r="I127" s="10">
        <v>0.2278</v>
      </c>
      <c r="J127">
        <f t="shared" si="16"/>
        <v>0.14299999999999999</v>
      </c>
      <c r="K127">
        <v>22</v>
      </c>
      <c r="L127" s="10">
        <v>0.16930000000000001</v>
      </c>
      <c r="M127" s="10">
        <v>9.6000000000000002E-2</v>
      </c>
      <c r="N127" s="10">
        <v>9.6799999999999997E-2</v>
      </c>
      <c r="O127">
        <f t="shared" si="17"/>
        <v>0.12069999999999999</v>
      </c>
      <c r="P127">
        <v>22</v>
      </c>
      <c r="Q127" s="10">
        <v>0.2351</v>
      </c>
      <c r="R127" s="10">
        <v>0.22850000000000001</v>
      </c>
      <c r="S127" s="10">
        <v>0.24360000000000001</v>
      </c>
      <c r="T127">
        <f t="shared" si="18"/>
        <v>0.23573333333333335</v>
      </c>
      <c r="U127">
        <v>22</v>
      </c>
      <c r="V127" s="10">
        <v>0.31819999999999998</v>
      </c>
      <c r="W127" s="10">
        <v>0.31979999999999997</v>
      </c>
      <c r="X127" s="10">
        <v>0.45340000000000003</v>
      </c>
      <c r="Y127">
        <f t="shared" si="19"/>
        <v>0.36379999999999996</v>
      </c>
    </row>
    <row r="128" spans="1:25" x14ac:dyDescent="0.45">
      <c r="A128">
        <v>23</v>
      </c>
      <c r="B128" s="10">
        <v>0.2288</v>
      </c>
      <c r="C128" s="10">
        <v>0.33660000000000001</v>
      </c>
      <c r="D128" s="10">
        <v>0.38009999999999999</v>
      </c>
      <c r="E128">
        <f t="shared" si="15"/>
        <v>0.31516666666666665</v>
      </c>
      <c r="F128">
        <v>23</v>
      </c>
      <c r="G128" s="10">
        <v>9.69E-2</v>
      </c>
      <c r="H128" s="10">
        <v>9.6500000000000002E-2</v>
      </c>
      <c r="I128" s="10">
        <v>0.2</v>
      </c>
      <c r="J128">
        <f t="shared" si="16"/>
        <v>0.13113333333333335</v>
      </c>
      <c r="K128">
        <v>23</v>
      </c>
      <c r="L128" s="10">
        <v>0.16039999999999999</v>
      </c>
      <c r="M128" s="10">
        <v>9.6000000000000002E-2</v>
      </c>
      <c r="N128" s="10">
        <v>9.6799999999999997E-2</v>
      </c>
      <c r="O128">
        <f t="shared" si="17"/>
        <v>0.11773333333333331</v>
      </c>
      <c r="P128">
        <v>23</v>
      </c>
      <c r="Q128" s="10">
        <v>0.2389</v>
      </c>
      <c r="R128" s="10">
        <v>0.21890000000000001</v>
      </c>
      <c r="S128" s="10">
        <v>0.25629999999999997</v>
      </c>
      <c r="T128" s="14">
        <f t="shared" si="18"/>
        <v>0.23803333333333332</v>
      </c>
      <c r="U128">
        <v>23</v>
      </c>
      <c r="V128" s="10">
        <v>0.32729999999999998</v>
      </c>
      <c r="W128" s="10">
        <v>0.32929999999999998</v>
      </c>
      <c r="X128" s="10">
        <v>0.46820000000000001</v>
      </c>
      <c r="Y128">
        <f t="shared" si="19"/>
        <v>0.37493333333333334</v>
      </c>
    </row>
    <row r="129" spans="1:25" x14ac:dyDescent="0.45">
      <c r="A129">
        <v>24</v>
      </c>
      <c r="B129" s="10">
        <v>0.27329999999999999</v>
      </c>
      <c r="C129" s="10">
        <v>0.30730000000000002</v>
      </c>
      <c r="D129" s="10">
        <v>0.42949999999999999</v>
      </c>
      <c r="E129">
        <f t="shared" si="15"/>
        <v>0.3367</v>
      </c>
      <c r="F129">
        <v>24</v>
      </c>
      <c r="G129" s="10">
        <v>9.64E-2</v>
      </c>
      <c r="H129" s="10">
        <v>9.6699999999999994E-2</v>
      </c>
      <c r="I129" s="10">
        <v>0.16769999999999999</v>
      </c>
      <c r="J129">
        <f t="shared" si="16"/>
        <v>0.12026666666666667</v>
      </c>
      <c r="K129">
        <v>24</v>
      </c>
      <c r="L129" s="10">
        <v>0.16789999999999999</v>
      </c>
      <c r="M129" s="10">
        <v>9.5799999999999996E-2</v>
      </c>
      <c r="N129" s="10">
        <v>0.1065</v>
      </c>
      <c r="O129">
        <f t="shared" si="17"/>
        <v>0.1234</v>
      </c>
      <c r="P129">
        <v>24</v>
      </c>
      <c r="Q129" s="10">
        <v>0.2021</v>
      </c>
      <c r="R129" s="16">
        <v>0.2263</v>
      </c>
      <c r="S129" s="16">
        <v>0.2447</v>
      </c>
      <c r="T129">
        <f t="shared" si="18"/>
        <v>0.22436666666666669</v>
      </c>
      <c r="U129">
        <v>24</v>
      </c>
      <c r="V129" s="10">
        <v>0.3367</v>
      </c>
      <c r="W129" s="10">
        <v>0.33139999999999997</v>
      </c>
      <c r="X129" s="10">
        <v>0.50580000000000003</v>
      </c>
      <c r="Y129" s="14">
        <f t="shared" si="19"/>
        <v>0.39129999999999998</v>
      </c>
    </row>
    <row r="130" spans="1:25" ht="14.65" thickBot="1" x14ac:dyDescent="0.5"/>
    <row r="131" spans="1:25" x14ac:dyDescent="0.45">
      <c r="A131" t="s">
        <v>4</v>
      </c>
      <c r="B131" s="9" t="s">
        <v>19</v>
      </c>
      <c r="C131" s="9" t="s">
        <v>20</v>
      </c>
      <c r="D131" s="9" t="s">
        <v>21</v>
      </c>
      <c r="E131" s="6" t="s">
        <v>50</v>
      </c>
      <c r="F131" t="s">
        <v>4</v>
      </c>
      <c r="G131" s="8" t="s">
        <v>0</v>
      </c>
      <c r="H131" s="8" t="s">
        <v>1</v>
      </c>
      <c r="I131" s="8" t="s">
        <v>2</v>
      </c>
      <c r="J131" s="6" t="s">
        <v>52</v>
      </c>
      <c r="K131" t="s">
        <v>4</v>
      </c>
      <c r="L131" s="8" t="s">
        <v>27</v>
      </c>
      <c r="M131" s="8" t="s">
        <v>53</v>
      </c>
      <c r="N131" s="8" t="s">
        <v>28</v>
      </c>
      <c r="O131" s="6" t="s">
        <v>54</v>
      </c>
      <c r="P131" t="s">
        <v>4</v>
      </c>
      <c r="Q131" t="s">
        <v>56</v>
      </c>
      <c r="R131" t="s">
        <v>57</v>
      </c>
      <c r="S131" t="s">
        <v>46</v>
      </c>
      <c r="T131" s="5" t="s">
        <v>58</v>
      </c>
      <c r="U131" t="s">
        <v>4</v>
      </c>
      <c r="V131" s="8" t="s">
        <v>19</v>
      </c>
      <c r="W131" s="8" t="s">
        <v>20</v>
      </c>
      <c r="X131" s="8" t="s">
        <v>21</v>
      </c>
      <c r="Y131" s="6" t="s">
        <v>59</v>
      </c>
    </row>
    <row r="132" spans="1:25" x14ac:dyDescent="0.45">
      <c r="A132">
        <v>1</v>
      </c>
      <c r="B132" s="10">
        <v>0.1024</v>
      </c>
      <c r="C132" s="10">
        <v>0.1028</v>
      </c>
      <c r="D132" s="10">
        <v>0.1037</v>
      </c>
      <c r="E132">
        <f>AVERAGE(B132:D132)</f>
        <v>0.10296666666666666</v>
      </c>
      <c r="F132">
        <v>1</v>
      </c>
      <c r="G132" s="7">
        <v>0.16070000000000001</v>
      </c>
      <c r="H132" s="7">
        <v>0.16420000000000001</v>
      </c>
      <c r="I132" s="7">
        <v>0.1784</v>
      </c>
      <c r="J132">
        <f>AVERAGE(G132:I132)</f>
        <v>0.1677666666666667</v>
      </c>
      <c r="K132">
        <v>1</v>
      </c>
      <c r="L132" s="7">
        <v>0.16980000000000001</v>
      </c>
      <c r="M132" s="7">
        <v>0.1166</v>
      </c>
      <c r="N132" s="7">
        <v>0.15870000000000001</v>
      </c>
      <c r="O132">
        <f>AVERAGE(L132:N132)</f>
        <v>0.14836666666666667</v>
      </c>
      <c r="P132">
        <v>1</v>
      </c>
      <c r="Q132">
        <v>0.1021</v>
      </c>
      <c r="R132">
        <v>0.1128</v>
      </c>
      <c r="S132">
        <v>0.3392</v>
      </c>
      <c r="T132" s="2">
        <f>AVERAGE(Q132:S132)</f>
        <v>0.1847</v>
      </c>
      <c r="U132">
        <v>1</v>
      </c>
      <c r="V132" s="7">
        <v>0.1076</v>
      </c>
      <c r="W132" s="7">
        <v>0.1087</v>
      </c>
      <c r="X132" s="7">
        <v>0.1158</v>
      </c>
      <c r="Y132" s="14">
        <f>AVERAGE(V132:X132)</f>
        <v>0.11070000000000001</v>
      </c>
    </row>
    <row r="133" spans="1:25" x14ac:dyDescent="0.45">
      <c r="A133">
        <v>2</v>
      </c>
      <c r="B133" s="10">
        <v>0.13400000000000001</v>
      </c>
      <c r="C133" s="10">
        <v>0.13159999999999999</v>
      </c>
      <c r="D133" s="10">
        <v>0.1273</v>
      </c>
      <c r="E133" s="14">
        <f t="shared" ref="E133:E155" si="20">AVERAGE(B133:D133)</f>
        <v>0.13096666666666668</v>
      </c>
      <c r="F133">
        <v>2</v>
      </c>
      <c r="G133" s="16">
        <v>0.13109999999999999</v>
      </c>
      <c r="H133" s="7">
        <v>0.13900000000000001</v>
      </c>
      <c r="I133" s="16">
        <v>0.13059999999999999</v>
      </c>
      <c r="J133" s="14">
        <f t="shared" ref="J133:J155" si="21">AVERAGE(G133:I133)</f>
        <v>0.13356666666666667</v>
      </c>
      <c r="K133">
        <v>2</v>
      </c>
      <c r="L133" s="7">
        <v>0.1196</v>
      </c>
      <c r="M133" s="7">
        <v>0.1178</v>
      </c>
      <c r="N133" s="7">
        <v>0.1145</v>
      </c>
      <c r="O133" s="14">
        <f t="shared" ref="O133:O155" si="22">AVERAGE(L133:N133)</f>
        <v>0.1173</v>
      </c>
      <c r="P133">
        <v>2</v>
      </c>
      <c r="Q133">
        <v>0.1648</v>
      </c>
      <c r="R133">
        <v>0.1618</v>
      </c>
      <c r="S133">
        <v>0.16619999999999999</v>
      </c>
      <c r="T133" s="2">
        <f t="shared" ref="T133:T155" si="23">AVERAGE(Q133:S133)</f>
        <v>0.16426666666666667</v>
      </c>
      <c r="U133">
        <v>2</v>
      </c>
      <c r="V133" s="7">
        <v>0.11</v>
      </c>
      <c r="W133" s="7">
        <v>0.1171</v>
      </c>
      <c r="X133" s="7">
        <v>0.1111</v>
      </c>
      <c r="Y133">
        <f t="shared" ref="Y133:Y155" si="24">AVERAGE(V133:X133)</f>
        <v>0.11273333333333334</v>
      </c>
    </row>
    <row r="134" spans="1:25" x14ac:dyDescent="0.45">
      <c r="A134">
        <v>3</v>
      </c>
      <c r="B134" s="10">
        <v>0.13370000000000001</v>
      </c>
      <c r="C134" s="10">
        <v>0.1426</v>
      </c>
      <c r="D134" s="10">
        <v>0.127</v>
      </c>
      <c r="E134">
        <f t="shared" si="20"/>
        <v>0.13443333333333332</v>
      </c>
      <c r="F134">
        <v>3</v>
      </c>
      <c r="G134" s="7">
        <v>0.1363</v>
      </c>
      <c r="H134" s="7">
        <v>0.1467</v>
      </c>
      <c r="I134" s="7">
        <v>0.14149999999999999</v>
      </c>
      <c r="J134">
        <f t="shared" si="21"/>
        <v>0.14149999999999999</v>
      </c>
      <c r="K134">
        <v>3</v>
      </c>
      <c r="L134" s="7">
        <v>0.1157</v>
      </c>
      <c r="M134" s="7">
        <v>0.1235</v>
      </c>
      <c r="N134" s="7">
        <v>0.12590000000000001</v>
      </c>
      <c r="O134">
        <f t="shared" si="22"/>
        <v>0.12169999999999999</v>
      </c>
      <c r="P134">
        <v>3</v>
      </c>
      <c r="Q134">
        <v>0.14269999999999999</v>
      </c>
      <c r="R134">
        <v>0.16300000000000001</v>
      </c>
      <c r="S134">
        <v>0.17349999999999999</v>
      </c>
      <c r="T134" s="11">
        <f t="shared" si="23"/>
        <v>0.15973333333333331</v>
      </c>
      <c r="U134">
        <v>3</v>
      </c>
      <c r="V134" s="7">
        <v>0.1181</v>
      </c>
      <c r="W134" s="7">
        <v>0.11849999999999999</v>
      </c>
      <c r="X134" s="7">
        <v>0.11509999999999999</v>
      </c>
      <c r="Y134">
        <f t="shared" si="24"/>
        <v>0.11723333333333331</v>
      </c>
    </row>
    <row r="135" spans="1:25" x14ac:dyDescent="0.45">
      <c r="A135">
        <v>4</v>
      </c>
      <c r="B135" s="10">
        <v>0.157</v>
      </c>
      <c r="C135" s="10">
        <v>0.17319999999999999</v>
      </c>
      <c r="D135" s="10">
        <v>0.16139999999999999</v>
      </c>
      <c r="E135">
        <f t="shared" si="20"/>
        <v>0.16386666666666666</v>
      </c>
      <c r="F135">
        <v>4</v>
      </c>
      <c r="G135" s="7">
        <v>0.1447</v>
      </c>
      <c r="H135" s="7">
        <v>0.16309999999999999</v>
      </c>
      <c r="I135" s="7">
        <v>0.14929999999999999</v>
      </c>
      <c r="J135">
        <f t="shared" si="21"/>
        <v>0.15236666666666665</v>
      </c>
      <c r="K135">
        <v>4</v>
      </c>
      <c r="L135" s="7">
        <v>0.1239</v>
      </c>
      <c r="M135" s="7">
        <v>0.12759999999999999</v>
      </c>
      <c r="N135" s="7">
        <v>0.13009999999999999</v>
      </c>
      <c r="O135">
        <f t="shared" si="22"/>
        <v>0.12720000000000001</v>
      </c>
      <c r="P135">
        <v>4</v>
      </c>
      <c r="Q135">
        <v>0.18770000000000001</v>
      </c>
      <c r="R135">
        <v>0.16350000000000001</v>
      </c>
      <c r="S135">
        <v>0.15310000000000001</v>
      </c>
      <c r="T135" s="2">
        <f t="shared" si="23"/>
        <v>0.1681</v>
      </c>
      <c r="U135">
        <v>4</v>
      </c>
      <c r="V135" s="7">
        <v>0.12770000000000001</v>
      </c>
      <c r="W135" s="7">
        <v>0.1249</v>
      </c>
      <c r="X135" s="7">
        <v>0.12609999999999999</v>
      </c>
      <c r="Y135">
        <f t="shared" si="24"/>
        <v>0.12623333333333334</v>
      </c>
    </row>
    <row r="136" spans="1:25" x14ac:dyDescent="0.45">
      <c r="A136">
        <v>5</v>
      </c>
      <c r="B136" s="10">
        <v>0.17319999999999999</v>
      </c>
      <c r="C136" s="10">
        <v>0.1555</v>
      </c>
      <c r="D136" s="10">
        <v>0.182</v>
      </c>
      <c r="E136">
        <f t="shared" si="20"/>
        <v>0.17023333333333332</v>
      </c>
      <c r="F136">
        <v>5</v>
      </c>
      <c r="G136" s="7">
        <v>0.151</v>
      </c>
      <c r="H136" s="7">
        <v>0.18240000000000001</v>
      </c>
      <c r="I136" s="7">
        <v>0.188</v>
      </c>
      <c r="J136">
        <f t="shared" si="21"/>
        <v>0.17380000000000004</v>
      </c>
      <c r="K136">
        <v>5</v>
      </c>
      <c r="L136" s="7">
        <v>0.12790000000000001</v>
      </c>
      <c r="M136" s="7">
        <v>0.13439999999999999</v>
      </c>
      <c r="N136" s="7">
        <v>0.13220000000000001</v>
      </c>
      <c r="O136">
        <f t="shared" si="22"/>
        <v>0.13149999999999998</v>
      </c>
      <c r="P136">
        <v>5</v>
      </c>
      <c r="Q136">
        <v>0.19239999999999999</v>
      </c>
      <c r="R136">
        <v>0.18079999999999999</v>
      </c>
      <c r="S136">
        <v>0.17630000000000001</v>
      </c>
      <c r="T136" s="2">
        <f t="shared" si="23"/>
        <v>0.18316666666666667</v>
      </c>
      <c r="U136">
        <v>5</v>
      </c>
      <c r="V136" s="7">
        <v>0.1168</v>
      </c>
      <c r="W136" s="7">
        <v>0.13139999999999999</v>
      </c>
      <c r="X136" s="7">
        <v>0.14499999999999999</v>
      </c>
      <c r="Y136">
        <f t="shared" si="24"/>
        <v>0.13106666666666666</v>
      </c>
    </row>
    <row r="137" spans="1:25" x14ac:dyDescent="0.45">
      <c r="A137">
        <v>6</v>
      </c>
      <c r="B137" s="10">
        <v>0.1883</v>
      </c>
      <c r="C137" s="10">
        <v>0.1515</v>
      </c>
      <c r="D137" s="10">
        <v>0.18379999999999999</v>
      </c>
      <c r="E137">
        <f t="shared" si="20"/>
        <v>0.17453333333333332</v>
      </c>
      <c r="F137">
        <v>6</v>
      </c>
      <c r="G137" s="7">
        <v>0.16889999999999999</v>
      </c>
      <c r="H137" s="7">
        <v>0.19370000000000001</v>
      </c>
      <c r="I137" s="7">
        <v>0.17560000000000001</v>
      </c>
      <c r="J137">
        <f t="shared" si="21"/>
        <v>0.1794</v>
      </c>
      <c r="K137">
        <v>6</v>
      </c>
      <c r="L137" s="7">
        <v>0.15179999999999999</v>
      </c>
      <c r="M137" s="7">
        <v>0.1699</v>
      </c>
      <c r="N137" s="7">
        <v>0.1668</v>
      </c>
      <c r="O137">
        <f t="shared" si="22"/>
        <v>0.16283333333333333</v>
      </c>
      <c r="P137">
        <v>6</v>
      </c>
      <c r="Q137">
        <v>0.1724</v>
      </c>
      <c r="R137">
        <v>0.17630000000000001</v>
      </c>
      <c r="S137">
        <v>0.16350000000000001</v>
      </c>
      <c r="T137" s="2">
        <f t="shared" si="23"/>
        <v>0.17073333333333332</v>
      </c>
      <c r="U137">
        <v>6</v>
      </c>
      <c r="V137" s="7">
        <v>0.1401</v>
      </c>
      <c r="W137" s="7">
        <v>0.16259999999999999</v>
      </c>
      <c r="X137" s="7">
        <v>0.15709999999999999</v>
      </c>
      <c r="Y137">
        <f t="shared" si="24"/>
        <v>0.15326666666666666</v>
      </c>
    </row>
    <row r="138" spans="1:25" x14ac:dyDescent="0.45">
      <c r="A138">
        <v>7</v>
      </c>
      <c r="B138" s="10">
        <v>0.14910000000000001</v>
      </c>
      <c r="C138" s="10">
        <v>0.18390000000000001</v>
      </c>
      <c r="D138" s="10">
        <v>0.1782</v>
      </c>
      <c r="E138">
        <f t="shared" si="20"/>
        <v>0.1704</v>
      </c>
      <c r="F138">
        <v>7</v>
      </c>
      <c r="G138" s="7">
        <v>0.17199999999999999</v>
      </c>
      <c r="H138" s="7">
        <v>0.2145</v>
      </c>
      <c r="I138" s="7">
        <v>0.1759</v>
      </c>
      <c r="J138">
        <f t="shared" si="21"/>
        <v>0.18746666666666667</v>
      </c>
      <c r="K138">
        <v>7</v>
      </c>
      <c r="L138" s="7">
        <v>0.1673</v>
      </c>
      <c r="M138" s="7">
        <v>0.18360000000000001</v>
      </c>
      <c r="N138" s="7">
        <v>0.18559999999999999</v>
      </c>
      <c r="O138">
        <f t="shared" si="22"/>
        <v>0.17883333333333332</v>
      </c>
      <c r="P138">
        <v>7</v>
      </c>
      <c r="Q138">
        <v>0.1772</v>
      </c>
      <c r="R138">
        <v>0.15640000000000001</v>
      </c>
      <c r="S138">
        <v>0.16669999999999999</v>
      </c>
      <c r="T138" s="2">
        <f t="shared" si="23"/>
        <v>0.16676666666666665</v>
      </c>
      <c r="U138">
        <v>7</v>
      </c>
      <c r="V138" s="7">
        <v>0.15490000000000001</v>
      </c>
      <c r="W138" s="7">
        <v>0.17050000000000001</v>
      </c>
      <c r="X138" s="7">
        <v>0.17760000000000001</v>
      </c>
      <c r="Y138">
        <f t="shared" si="24"/>
        <v>0.16766666666666666</v>
      </c>
    </row>
    <row r="139" spans="1:25" x14ac:dyDescent="0.45">
      <c r="A139">
        <v>8</v>
      </c>
      <c r="B139" s="10">
        <v>0.18190000000000001</v>
      </c>
      <c r="C139" s="10">
        <v>0.18379999999999999</v>
      </c>
      <c r="D139" s="10">
        <v>0.15140000000000001</v>
      </c>
      <c r="E139">
        <f t="shared" si="20"/>
        <v>0.17236666666666667</v>
      </c>
      <c r="F139">
        <v>8</v>
      </c>
      <c r="G139" s="7">
        <v>0.1993</v>
      </c>
      <c r="H139" s="7">
        <v>0.22159999999999999</v>
      </c>
      <c r="I139" s="7">
        <v>0.2392</v>
      </c>
      <c r="J139">
        <f t="shared" si="21"/>
        <v>0.22003333333333333</v>
      </c>
      <c r="K139">
        <v>8</v>
      </c>
      <c r="L139" s="7">
        <v>0.1749</v>
      </c>
      <c r="M139" s="7">
        <v>0.19769999999999999</v>
      </c>
      <c r="N139" s="7">
        <v>0.19969999999999999</v>
      </c>
      <c r="O139">
        <f t="shared" si="22"/>
        <v>0.19076666666666667</v>
      </c>
      <c r="P139">
        <v>8</v>
      </c>
      <c r="Q139">
        <v>0.21079999999999999</v>
      </c>
      <c r="R139">
        <v>0.182</v>
      </c>
      <c r="S139">
        <v>0.17849999999999999</v>
      </c>
      <c r="T139" s="2">
        <f t="shared" si="23"/>
        <v>0.19043333333333332</v>
      </c>
      <c r="U139">
        <v>8</v>
      </c>
      <c r="V139" s="7">
        <v>0.1736</v>
      </c>
      <c r="W139" s="7">
        <v>0.16889999999999999</v>
      </c>
      <c r="X139" s="7">
        <v>0.15429999999999999</v>
      </c>
      <c r="Y139">
        <f t="shared" si="24"/>
        <v>0.1656</v>
      </c>
    </row>
    <row r="140" spans="1:25" x14ac:dyDescent="0.45">
      <c r="A140">
        <v>9</v>
      </c>
      <c r="B140" s="10">
        <v>0.18709999999999999</v>
      </c>
      <c r="C140" s="10">
        <v>0.17780000000000001</v>
      </c>
      <c r="D140" s="10">
        <v>0.1578</v>
      </c>
      <c r="E140">
        <f t="shared" si="20"/>
        <v>0.17423333333333332</v>
      </c>
      <c r="F140">
        <v>9</v>
      </c>
      <c r="G140" s="7">
        <v>0.21329999999999999</v>
      </c>
      <c r="H140" s="7">
        <v>0.21029999999999999</v>
      </c>
      <c r="I140" s="7">
        <v>0.22439999999999999</v>
      </c>
      <c r="J140">
        <f t="shared" si="21"/>
        <v>0.21599999999999997</v>
      </c>
      <c r="K140">
        <v>9</v>
      </c>
      <c r="L140" s="7">
        <v>0.159</v>
      </c>
      <c r="M140" s="7">
        <v>0.20549999999999999</v>
      </c>
      <c r="N140" s="7">
        <v>0.21190000000000001</v>
      </c>
      <c r="O140">
        <f t="shared" si="22"/>
        <v>0.19213333333333335</v>
      </c>
      <c r="P140">
        <v>9</v>
      </c>
      <c r="Q140">
        <v>0.20369999999999999</v>
      </c>
      <c r="R140">
        <v>0.17219999999999999</v>
      </c>
      <c r="S140">
        <v>0.16700000000000001</v>
      </c>
      <c r="T140" s="2">
        <f t="shared" si="23"/>
        <v>0.18096666666666669</v>
      </c>
      <c r="U140">
        <v>9</v>
      </c>
      <c r="V140" s="7">
        <v>0.17319999999999999</v>
      </c>
      <c r="W140" s="7">
        <v>0.1918</v>
      </c>
      <c r="X140" s="7">
        <v>0.19139999999999999</v>
      </c>
      <c r="Y140">
        <f t="shared" si="24"/>
        <v>0.18546666666666667</v>
      </c>
    </row>
    <row r="141" spans="1:25" x14ac:dyDescent="0.45">
      <c r="A141">
        <v>10</v>
      </c>
      <c r="B141" s="10">
        <v>0.1701</v>
      </c>
      <c r="C141" s="10">
        <v>0.15570000000000001</v>
      </c>
      <c r="D141" s="10">
        <v>0.1469</v>
      </c>
      <c r="E141">
        <f t="shared" si="20"/>
        <v>0.15756666666666666</v>
      </c>
      <c r="F141">
        <v>10</v>
      </c>
      <c r="G141" s="7">
        <v>0.22500000000000001</v>
      </c>
      <c r="H141" s="7">
        <v>0.28770000000000001</v>
      </c>
      <c r="I141" s="7">
        <v>0.22639999999999999</v>
      </c>
      <c r="J141">
        <f t="shared" si="21"/>
        <v>0.24636666666666671</v>
      </c>
      <c r="K141">
        <v>10</v>
      </c>
      <c r="L141" s="7">
        <v>0.158</v>
      </c>
      <c r="M141" s="7">
        <v>0.22789999999999999</v>
      </c>
      <c r="N141" s="7">
        <v>0.1787</v>
      </c>
      <c r="O141">
        <f t="shared" si="22"/>
        <v>0.18820000000000001</v>
      </c>
      <c r="P141">
        <v>10</v>
      </c>
      <c r="Q141">
        <v>0.19070000000000001</v>
      </c>
      <c r="R141">
        <v>0.1757</v>
      </c>
      <c r="S141">
        <v>0.1804</v>
      </c>
      <c r="T141" s="2">
        <f t="shared" si="23"/>
        <v>0.18226666666666666</v>
      </c>
      <c r="U141">
        <v>10</v>
      </c>
      <c r="V141" s="7">
        <v>0.19270000000000001</v>
      </c>
      <c r="W141" s="7">
        <v>0.1754</v>
      </c>
      <c r="X141" s="7">
        <v>0.15690000000000001</v>
      </c>
      <c r="Y141">
        <f t="shared" si="24"/>
        <v>0.17500000000000002</v>
      </c>
    </row>
    <row r="142" spans="1:25" x14ac:dyDescent="0.45">
      <c r="A142">
        <v>11</v>
      </c>
      <c r="B142" s="10">
        <v>0.17469999999999999</v>
      </c>
      <c r="C142" s="10">
        <v>0.1772</v>
      </c>
      <c r="D142" s="10">
        <v>9.8599999999999993E-2</v>
      </c>
      <c r="E142" s="14">
        <f t="shared" si="20"/>
        <v>0.15016666666666667</v>
      </c>
      <c r="F142">
        <v>11</v>
      </c>
      <c r="G142" s="7">
        <v>0.2298</v>
      </c>
      <c r="H142" s="7">
        <v>0.30420000000000003</v>
      </c>
      <c r="I142" s="7">
        <v>0.2838</v>
      </c>
      <c r="J142">
        <f t="shared" si="21"/>
        <v>0.27260000000000001</v>
      </c>
      <c r="K142">
        <v>11</v>
      </c>
      <c r="L142" s="7">
        <v>0.17879999999999999</v>
      </c>
      <c r="M142" s="7">
        <v>0.2072</v>
      </c>
      <c r="N142" s="7">
        <v>0.2351</v>
      </c>
      <c r="O142">
        <f t="shared" si="22"/>
        <v>0.20703333333333332</v>
      </c>
      <c r="P142">
        <v>11</v>
      </c>
      <c r="Q142">
        <v>0.16389999999999999</v>
      </c>
      <c r="R142">
        <v>0.1862</v>
      </c>
      <c r="S142">
        <v>0.17560000000000001</v>
      </c>
      <c r="T142" s="2">
        <f t="shared" si="23"/>
        <v>0.17523333333333332</v>
      </c>
      <c r="U142">
        <v>11</v>
      </c>
      <c r="V142" s="7">
        <v>0.1678</v>
      </c>
      <c r="W142" s="7">
        <v>0.2041</v>
      </c>
      <c r="X142" s="7">
        <v>0.16880000000000001</v>
      </c>
      <c r="Y142">
        <f t="shared" si="24"/>
        <v>0.18023333333333333</v>
      </c>
    </row>
    <row r="143" spans="1:25" x14ac:dyDescent="0.45">
      <c r="A143">
        <v>12</v>
      </c>
      <c r="B143" s="10">
        <v>0.1237</v>
      </c>
      <c r="C143" s="10">
        <v>0.18310000000000001</v>
      </c>
      <c r="D143" s="10">
        <v>9.8000000000000004E-2</v>
      </c>
      <c r="E143">
        <f t="shared" si="20"/>
        <v>0.13493333333333335</v>
      </c>
      <c r="F143">
        <v>12</v>
      </c>
      <c r="G143" s="7">
        <v>0.24890000000000001</v>
      </c>
      <c r="H143" s="7">
        <v>0.33360000000000001</v>
      </c>
      <c r="I143" s="7">
        <v>0.28639999999999999</v>
      </c>
      <c r="J143">
        <f t="shared" si="21"/>
        <v>0.28963333333333335</v>
      </c>
      <c r="K143">
        <v>12</v>
      </c>
      <c r="L143" s="7">
        <v>0.16500000000000001</v>
      </c>
      <c r="M143" s="7">
        <v>0.20849999999999999</v>
      </c>
      <c r="N143" s="7">
        <v>0.217</v>
      </c>
      <c r="O143">
        <f t="shared" si="22"/>
        <v>0.19683333333333333</v>
      </c>
      <c r="P143">
        <v>12</v>
      </c>
      <c r="Q143">
        <v>0.20910000000000001</v>
      </c>
      <c r="R143">
        <v>0.16600000000000001</v>
      </c>
      <c r="S143">
        <v>0.1731</v>
      </c>
      <c r="T143" s="2">
        <f t="shared" si="23"/>
        <v>0.18273333333333333</v>
      </c>
      <c r="U143">
        <v>12</v>
      </c>
      <c r="V143" s="7">
        <v>0.1694</v>
      </c>
      <c r="W143" s="7">
        <v>0.1973</v>
      </c>
      <c r="X143" s="7">
        <v>0.2069</v>
      </c>
      <c r="Y143">
        <f t="shared" si="24"/>
        <v>0.19120000000000001</v>
      </c>
    </row>
    <row r="144" spans="1:25" x14ac:dyDescent="0.45">
      <c r="A144">
        <v>13</v>
      </c>
      <c r="B144" s="10">
        <v>0.10920000000000001</v>
      </c>
      <c r="C144" s="10">
        <v>0.18060000000000001</v>
      </c>
      <c r="D144" s="10">
        <v>9.7900000000000001E-2</v>
      </c>
      <c r="E144">
        <f t="shared" si="20"/>
        <v>0.12923333333333334</v>
      </c>
      <c r="F144">
        <v>13</v>
      </c>
      <c r="G144" s="7">
        <v>0.26450000000000001</v>
      </c>
      <c r="H144" s="7">
        <v>0.33679999999999999</v>
      </c>
      <c r="I144" s="7">
        <v>0.29899999999999999</v>
      </c>
      <c r="J144">
        <f t="shared" si="21"/>
        <v>0.30009999999999998</v>
      </c>
      <c r="K144">
        <v>13</v>
      </c>
      <c r="L144" s="7">
        <v>0.18540000000000001</v>
      </c>
      <c r="M144" s="7">
        <v>0.21679999999999999</v>
      </c>
      <c r="N144" s="7">
        <v>0.29980000000000001</v>
      </c>
      <c r="O144">
        <f t="shared" si="22"/>
        <v>0.23399999999999999</v>
      </c>
      <c r="P144">
        <v>13</v>
      </c>
      <c r="Q144">
        <v>0.2041</v>
      </c>
      <c r="R144">
        <v>0.1668</v>
      </c>
      <c r="S144">
        <v>0.182</v>
      </c>
      <c r="T144" s="2">
        <f t="shared" si="23"/>
        <v>0.18429999999999999</v>
      </c>
      <c r="U144">
        <v>13</v>
      </c>
      <c r="V144" s="7">
        <v>0.1678</v>
      </c>
      <c r="W144" s="7">
        <v>0.25030000000000002</v>
      </c>
      <c r="X144" s="7">
        <v>0.2442</v>
      </c>
      <c r="Y144">
        <f t="shared" si="24"/>
        <v>0.22076666666666667</v>
      </c>
    </row>
    <row r="145" spans="1:25" x14ac:dyDescent="0.45">
      <c r="A145">
        <v>14</v>
      </c>
      <c r="B145" s="10">
        <v>0.1024</v>
      </c>
      <c r="C145" s="10">
        <v>0.1467</v>
      </c>
      <c r="D145" s="10">
        <v>9.7900000000000001E-2</v>
      </c>
      <c r="E145">
        <f t="shared" si="20"/>
        <v>0.11566666666666665</v>
      </c>
      <c r="F145">
        <v>14</v>
      </c>
      <c r="G145" s="7">
        <v>0.25469999999999998</v>
      </c>
      <c r="H145" s="7">
        <v>0.34289999999999998</v>
      </c>
      <c r="I145" s="7">
        <v>0.31709999999999999</v>
      </c>
      <c r="J145">
        <f t="shared" si="21"/>
        <v>0.30489999999999995</v>
      </c>
      <c r="K145">
        <v>14</v>
      </c>
      <c r="L145" s="7">
        <v>0.17100000000000001</v>
      </c>
      <c r="M145" s="7">
        <v>0.21990000000000001</v>
      </c>
      <c r="N145" s="7">
        <v>0.28420000000000001</v>
      </c>
      <c r="O145">
        <f t="shared" si="22"/>
        <v>0.22503333333333334</v>
      </c>
      <c r="P145">
        <v>14</v>
      </c>
      <c r="Q145">
        <v>0.2114</v>
      </c>
      <c r="R145">
        <v>0.1862</v>
      </c>
      <c r="S145">
        <v>0.18060000000000001</v>
      </c>
      <c r="T145" s="2">
        <f t="shared" si="23"/>
        <v>0.19273333333333334</v>
      </c>
      <c r="U145">
        <v>14</v>
      </c>
      <c r="V145" s="7">
        <v>0.17460000000000001</v>
      </c>
      <c r="W145" s="7">
        <v>0.2205</v>
      </c>
      <c r="X145" s="7">
        <v>0.26329999999999998</v>
      </c>
      <c r="Y145">
        <f t="shared" si="24"/>
        <v>0.21946666666666667</v>
      </c>
    </row>
    <row r="146" spans="1:25" x14ac:dyDescent="0.45">
      <c r="A146">
        <v>15</v>
      </c>
      <c r="B146" s="10">
        <v>0.10100000000000001</v>
      </c>
      <c r="C146" s="10">
        <v>0.17330000000000001</v>
      </c>
      <c r="D146" s="10">
        <v>9.7900000000000001E-2</v>
      </c>
      <c r="E146">
        <f t="shared" si="20"/>
        <v>0.12406666666666666</v>
      </c>
      <c r="F146">
        <v>15</v>
      </c>
      <c r="G146" s="16">
        <v>0.26979999999999998</v>
      </c>
      <c r="H146" s="7">
        <v>0.33729999999999999</v>
      </c>
      <c r="I146" s="7">
        <v>0.34489999999999998</v>
      </c>
      <c r="J146">
        <f t="shared" si="21"/>
        <v>0.3173333333333333</v>
      </c>
      <c r="K146">
        <v>15</v>
      </c>
      <c r="L146" s="7">
        <v>0.1721</v>
      </c>
      <c r="M146" s="7">
        <v>0.21920000000000001</v>
      </c>
      <c r="N146" s="7">
        <v>0.2893</v>
      </c>
      <c r="O146">
        <f t="shared" si="22"/>
        <v>0.22686666666666666</v>
      </c>
      <c r="P146">
        <v>15</v>
      </c>
      <c r="Q146">
        <v>0.2046</v>
      </c>
      <c r="R146">
        <v>0.21690000000000001</v>
      </c>
      <c r="S146">
        <v>0.16589999999999999</v>
      </c>
      <c r="T146" s="2">
        <f t="shared" si="23"/>
        <v>0.19579999999999997</v>
      </c>
      <c r="U146">
        <v>15</v>
      </c>
      <c r="V146" s="7">
        <v>0.1888</v>
      </c>
      <c r="W146" s="7">
        <v>0.27310000000000001</v>
      </c>
      <c r="X146" s="7">
        <v>0.25340000000000001</v>
      </c>
      <c r="Y146" s="14">
        <f t="shared" si="24"/>
        <v>0.23843333333333336</v>
      </c>
    </row>
    <row r="147" spans="1:25" x14ac:dyDescent="0.45">
      <c r="A147">
        <v>16</v>
      </c>
      <c r="B147" s="10">
        <v>0.1016</v>
      </c>
      <c r="C147" s="10">
        <v>0.17610000000000001</v>
      </c>
      <c r="D147" s="10">
        <v>9.8100000000000007E-2</v>
      </c>
      <c r="E147">
        <f t="shared" si="20"/>
        <v>0.12526666666666667</v>
      </c>
      <c r="F147">
        <v>16</v>
      </c>
      <c r="G147" s="7">
        <v>0.27339999999999998</v>
      </c>
      <c r="H147" s="7">
        <v>0.4345</v>
      </c>
      <c r="I147" s="7">
        <v>0.34289999999999998</v>
      </c>
      <c r="J147" s="14">
        <f t="shared" si="21"/>
        <v>0.35026666666666667</v>
      </c>
      <c r="K147">
        <v>16</v>
      </c>
      <c r="L147" s="7">
        <v>0.18579999999999999</v>
      </c>
      <c r="M147" s="7">
        <v>0.2069</v>
      </c>
      <c r="N147" s="7">
        <v>0.29120000000000001</v>
      </c>
      <c r="O147">
        <f t="shared" si="22"/>
        <v>0.22796666666666665</v>
      </c>
      <c r="P147">
        <v>16</v>
      </c>
      <c r="Q147">
        <v>0.1799</v>
      </c>
      <c r="R147">
        <v>0.2064</v>
      </c>
      <c r="S147">
        <v>0.1769</v>
      </c>
      <c r="T147" s="2">
        <f t="shared" si="23"/>
        <v>0.18773333333333331</v>
      </c>
      <c r="U147">
        <v>16</v>
      </c>
      <c r="V147" s="7">
        <v>0.15909999999999999</v>
      </c>
      <c r="W147" s="7">
        <v>0.1217</v>
      </c>
      <c r="X147" s="7">
        <v>0.2346</v>
      </c>
      <c r="Y147">
        <f t="shared" si="24"/>
        <v>0.17179999999999998</v>
      </c>
    </row>
    <row r="148" spans="1:25" x14ac:dyDescent="0.45">
      <c r="A148">
        <v>17</v>
      </c>
      <c r="B148" s="10">
        <v>0.10059999999999999</v>
      </c>
      <c r="C148" s="10">
        <v>0.1739</v>
      </c>
      <c r="D148" s="10">
        <v>9.7799999999999998E-2</v>
      </c>
      <c r="E148">
        <f t="shared" si="20"/>
        <v>0.12409999999999999</v>
      </c>
      <c r="F148">
        <v>17</v>
      </c>
      <c r="G148" s="7">
        <v>0.27339999999999998</v>
      </c>
      <c r="H148" s="7">
        <v>0.36180000000000001</v>
      </c>
      <c r="I148" s="7">
        <v>0.379</v>
      </c>
      <c r="J148">
        <f t="shared" si="21"/>
        <v>0.33806666666666668</v>
      </c>
      <c r="K148">
        <v>17</v>
      </c>
      <c r="L148" s="7">
        <v>0.2094</v>
      </c>
      <c r="M148" s="7">
        <v>0.23150000000000001</v>
      </c>
      <c r="N148" s="7">
        <v>0.31879999999999997</v>
      </c>
      <c r="O148">
        <f t="shared" si="22"/>
        <v>0.25323333333333337</v>
      </c>
      <c r="P148">
        <v>17</v>
      </c>
      <c r="Q148">
        <v>0.16639999999999999</v>
      </c>
      <c r="R148">
        <v>0.24840000000000001</v>
      </c>
      <c r="S148">
        <v>0.1653</v>
      </c>
      <c r="T148" s="2">
        <f t="shared" si="23"/>
        <v>0.19336666666666669</v>
      </c>
      <c r="U148">
        <v>17</v>
      </c>
      <c r="V148" s="7">
        <v>0.17080000000000001</v>
      </c>
      <c r="W148" s="7">
        <v>9.5399999999999999E-2</v>
      </c>
      <c r="X148" s="7">
        <v>0.29270000000000002</v>
      </c>
      <c r="Y148">
        <f t="shared" si="24"/>
        <v>0.18629999999999999</v>
      </c>
    </row>
    <row r="149" spans="1:25" x14ac:dyDescent="0.45">
      <c r="A149">
        <v>18</v>
      </c>
      <c r="B149" s="10">
        <v>0.1026</v>
      </c>
      <c r="C149" s="10">
        <v>0.1497</v>
      </c>
      <c r="D149" s="10">
        <v>9.8000000000000004E-2</v>
      </c>
      <c r="E149">
        <f t="shared" si="20"/>
        <v>0.11676666666666664</v>
      </c>
      <c r="F149">
        <v>18</v>
      </c>
      <c r="G149" s="7">
        <v>0.26429999999999998</v>
      </c>
      <c r="H149" s="7">
        <v>0.33660000000000001</v>
      </c>
      <c r="I149" s="7">
        <v>0.39219999999999999</v>
      </c>
      <c r="J149">
        <f t="shared" si="21"/>
        <v>0.33103333333333335</v>
      </c>
      <c r="K149">
        <v>18</v>
      </c>
      <c r="L149" s="7">
        <v>0.20030000000000001</v>
      </c>
      <c r="M149" s="7">
        <v>0.23710000000000001</v>
      </c>
      <c r="N149" s="7">
        <v>0.38040000000000002</v>
      </c>
      <c r="O149">
        <f t="shared" si="22"/>
        <v>0.27260000000000001</v>
      </c>
      <c r="P149">
        <v>18</v>
      </c>
      <c r="Q149">
        <v>0.1764</v>
      </c>
      <c r="R149">
        <v>0.1777</v>
      </c>
      <c r="S149">
        <v>0.218</v>
      </c>
      <c r="T149" s="2">
        <f t="shared" si="23"/>
        <v>0.19069999999999998</v>
      </c>
      <c r="U149">
        <v>18</v>
      </c>
      <c r="V149" s="7">
        <v>9.6600000000000005E-2</v>
      </c>
      <c r="W149" s="7">
        <v>9.5200000000000007E-2</v>
      </c>
      <c r="X149" s="7">
        <v>0.32029999999999997</v>
      </c>
      <c r="Y149">
        <f t="shared" si="24"/>
        <v>0.17069999999999999</v>
      </c>
    </row>
    <row r="150" spans="1:25" x14ac:dyDescent="0.45">
      <c r="A150">
        <v>19</v>
      </c>
      <c r="B150" s="10">
        <v>0.10059999999999999</v>
      </c>
      <c r="C150" s="10">
        <v>0.16869999999999999</v>
      </c>
      <c r="D150" s="10">
        <v>9.9500000000000005E-2</v>
      </c>
      <c r="E150">
        <f t="shared" si="20"/>
        <v>0.12293333333333334</v>
      </c>
      <c r="F150">
        <v>19</v>
      </c>
      <c r="G150" s="7">
        <v>0.249</v>
      </c>
      <c r="H150" s="7">
        <v>0.433</v>
      </c>
      <c r="I150" s="7">
        <v>0.42080000000000001</v>
      </c>
      <c r="J150">
        <f t="shared" si="21"/>
        <v>0.36759999999999998</v>
      </c>
      <c r="K150">
        <v>19</v>
      </c>
      <c r="L150" s="7">
        <v>0.20899999999999999</v>
      </c>
      <c r="M150" s="7">
        <v>0.216</v>
      </c>
      <c r="N150" s="7">
        <v>0.36209999999999998</v>
      </c>
      <c r="O150">
        <f t="shared" si="22"/>
        <v>0.26236666666666664</v>
      </c>
      <c r="P150">
        <v>19</v>
      </c>
      <c r="Q150">
        <v>0.19270000000000001</v>
      </c>
      <c r="R150">
        <v>0.2039</v>
      </c>
      <c r="S150">
        <v>0.18770000000000001</v>
      </c>
      <c r="T150" s="2">
        <f t="shared" si="23"/>
        <v>0.19476666666666667</v>
      </c>
      <c r="U150">
        <v>19</v>
      </c>
      <c r="V150" s="7">
        <v>0.26229999999999998</v>
      </c>
      <c r="W150" s="7">
        <v>0.1021</v>
      </c>
      <c r="X150" s="7">
        <v>0.26150000000000001</v>
      </c>
      <c r="Y150">
        <f t="shared" si="24"/>
        <v>0.20863333333333331</v>
      </c>
    </row>
    <row r="151" spans="1:25" x14ac:dyDescent="0.45">
      <c r="A151">
        <v>20</v>
      </c>
      <c r="B151" s="10">
        <v>0.1007</v>
      </c>
      <c r="C151" s="10">
        <v>0.16500000000000001</v>
      </c>
      <c r="D151" s="10">
        <v>9.7900000000000001E-2</v>
      </c>
      <c r="E151">
        <f t="shared" si="20"/>
        <v>0.12119999999999999</v>
      </c>
      <c r="F151">
        <v>20</v>
      </c>
      <c r="G151" s="7">
        <v>0.21149999999999999</v>
      </c>
      <c r="H151" s="7">
        <v>0.33379999999999999</v>
      </c>
      <c r="I151" s="7">
        <v>0.44529999999999997</v>
      </c>
      <c r="J151">
        <f t="shared" si="21"/>
        <v>0.33019999999999999</v>
      </c>
      <c r="K151">
        <v>20</v>
      </c>
      <c r="L151" s="7">
        <v>0.21579999999999999</v>
      </c>
      <c r="M151" s="7">
        <v>0.2374</v>
      </c>
      <c r="N151" s="7">
        <v>0.44109999999999999</v>
      </c>
      <c r="O151">
        <f t="shared" si="22"/>
        <v>0.29809999999999998</v>
      </c>
      <c r="P151">
        <v>20</v>
      </c>
      <c r="Q151">
        <v>0.19040000000000001</v>
      </c>
      <c r="R151">
        <v>0.2273</v>
      </c>
      <c r="S151">
        <v>0.22900000000000001</v>
      </c>
      <c r="T151" s="2">
        <f t="shared" si="23"/>
        <v>0.21556666666666668</v>
      </c>
      <c r="U151">
        <v>20</v>
      </c>
      <c r="V151" s="7">
        <v>9.8799999999999999E-2</v>
      </c>
      <c r="W151" s="7">
        <v>9.4600000000000004E-2</v>
      </c>
      <c r="X151" s="7">
        <v>0.26190000000000002</v>
      </c>
      <c r="Y151">
        <f t="shared" si="24"/>
        <v>0.15176666666666669</v>
      </c>
    </row>
    <row r="152" spans="1:25" x14ac:dyDescent="0.45">
      <c r="A152">
        <v>21</v>
      </c>
      <c r="B152" s="10">
        <v>0.1007</v>
      </c>
      <c r="C152" s="10">
        <v>0.1857</v>
      </c>
      <c r="D152" s="10">
        <v>9.7799999999999998E-2</v>
      </c>
      <c r="E152">
        <f t="shared" si="20"/>
        <v>0.12806666666666666</v>
      </c>
      <c r="F152">
        <v>21</v>
      </c>
      <c r="G152" s="7">
        <v>0.18820000000000001</v>
      </c>
      <c r="H152" s="7">
        <v>0.27250000000000002</v>
      </c>
      <c r="I152" s="16">
        <v>0.46339999999999998</v>
      </c>
      <c r="J152">
        <f t="shared" si="21"/>
        <v>0.30803333333333333</v>
      </c>
      <c r="K152">
        <v>21</v>
      </c>
      <c r="L152" s="7">
        <v>0.25</v>
      </c>
      <c r="M152" s="7">
        <v>0.26200000000000001</v>
      </c>
      <c r="N152" s="7">
        <v>0.39729999999999999</v>
      </c>
      <c r="O152">
        <f t="shared" si="22"/>
        <v>0.30309999999999998</v>
      </c>
      <c r="P152">
        <v>21</v>
      </c>
      <c r="Q152">
        <v>0.20230000000000001</v>
      </c>
      <c r="R152">
        <v>0.2147</v>
      </c>
      <c r="S152">
        <v>0.1963</v>
      </c>
      <c r="T152" s="2">
        <f t="shared" si="23"/>
        <v>0.20443333333333336</v>
      </c>
      <c r="U152">
        <v>21</v>
      </c>
      <c r="V152" s="7">
        <v>9.6100000000000005E-2</v>
      </c>
      <c r="W152" s="7">
        <v>9.5200000000000007E-2</v>
      </c>
      <c r="X152" s="7">
        <v>0.35610000000000003</v>
      </c>
      <c r="Y152">
        <f t="shared" si="24"/>
        <v>0.18246666666666669</v>
      </c>
    </row>
    <row r="153" spans="1:25" x14ac:dyDescent="0.45">
      <c r="A153">
        <v>22</v>
      </c>
      <c r="B153" s="10">
        <v>0.1173</v>
      </c>
      <c r="C153" s="10">
        <v>0.18129999999999999</v>
      </c>
      <c r="D153" s="10">
        <v>9.8000000000000004E-2</v>
      </c>
      <c r="E153">
        <f t="shared" si="20"/>
        <v>0.13219999999999998</v>
      </c>
      <c r="F153">
        <v>22</v>
      </c>
      <c r="G153" s="7">
        <v>0.20619999999999999</v>
      </c>
      <c r="H153" s="7">
        <v>0.30980000000000002</v>
      </c>
      <c r="I153" s="7">
        <v>0.46060000000000001</v>
      </c>
      <c r="J153">
        <f t="shared" si="21"/>
        <v>0.32553333333333334</v>
      </c>
      <c r="K153">
        <v>22</v>
      </c>
      <c r="L153" s="7">
        <v>0.24279999999999999</v>
      </c>
      <c r="M153" s="7">
        <v>0.2828</v>
      </c>
      <c r="N153" s="7">
        <v>0.44030000000000002</v>
      </c>
      <c r="O153" s="14">
        <f t="shared" si="22"/>
        <v>0.32196666666666668</v>
      </c>
      <c r="P153">
        <v>22</v>
      </c>
      <c r="Q153">
        <v>0.1792</v>
      </c>
      <c r="R153">
        <v>0.24079999999999999</v>
      </c>
      <c r="S153">
        <v>0.27439999999999998</v>
      </c>
      <c r="T153" s="11">
        <f t="shared" si="23"/>
        <v>0.23146666666666663</v>
      </c>
      <c r="U153">
        <v>22</v>
      </c>
      <c r="V153" s="7">
        <v>9.6000000000000002E-2</v>
      </c>
      <c r="W153" s="7">
        <v>9.4899999999999998E-2</v>
      </c>
      <c r="X153" s="7">
        <v>0.3236</v>
      </c>
      <c r="Y153">
        <f t="shared" si="24"/>
        <v>0.17149999999999999</v>
      </c>
    </row>
    <row r="154" spans="1:25" x14ac:dyDescent="0.45">
      <c r="A154">
        <v>23</v>
      </c>
      <c r="B154" s="10">
        <v>0.1057</v>
      </c>
      <c r="C154" s="10">
        <v>0.19589999999999999</v>
      </c>
      <c r="D154" s="10">
        <v>0.1043</v>
      </c>
      <c r="E154">
        <f t="shared" si="20"/>
        <v>0.1353</v>
      </c>
      <c r="F154">
        <v>23</v>
      </c>
      <c r="G154" s="7">
        <v>0.2109</v>
      </c>
      <c r="H154" s="7">
        <v>0.26790000000000003</v>
      </c>
      <c r="I154" s="7">
        <v>0.4289</v>
      </c>
      <c r="J154">
        <f t="shared" si="21"/>
        <v>0.30256666666666665</v>
      </c>
      <c r="K154">
        <v>23</v>
      </c>
      <c r="L154" s="7">
        <v>0.20710000000000001</v>
      </c>
      <c r="M154" s="7">
        <v>0.23139999999999999</v>
      </c>
      <c r="N154" s="7">
        <v>0.41270000000000001</v>
      </c>
      <c r="O154">
        <f t="shared" si="22"/>
        <v>0.28373333333333334</v>
      </c>
      <c r="P154">
        <v>23</v>
      </c>
      <c r="Q154">
        <v>0.21440000000000001</v>
      </c>
      <c r="R154">
        <v>0.2316</v>
      </c>
      <c r="S154">
        <v>0.23830000000000001</v>
      </c>
      <c r="T154" s="2">
        <f t="shared" si="23"/>
        <v>0.2281</v>
      </c>
      <c r="U154">
        <v>23</v>
      </c>
      <c r="V154" s="7">
        <v>9.5799999999999996E-2</v>
      </c>
      <c r="W154" s="7">
        <v>1.4292</v>
      </c>
      <c r="X154" s="7">
        <v>0.7399</v>
      </c>
      <c r="Y154">
        <f t="shared" si="24"/>
        <v>0.75496666666666667</v>
      </c>
    </row>
    <row r="155" spans="1:25" ht="14.65" thickBot="1" x14ac:dyDescent="0.5">
      <c r="A155">
        <v>24</v>
      </c>
      <c r="B155" s="10">
        <v>0.1052</v>
      </c>
      <c r="C155" s="10">
        <v>0.1709</v>
      </c>
      <c r="D155" s="10">
        <v>9.8100000000000007E-2</v>
      </c>
      <c r="E155">
        <f t="shared" si="20"/>
        <v>0.12473333333333335</v>
      </c>
      <c r="F155">
        <v>24</v>
      </c>
      <c r="G155" s="7">
        <v>0.22559999999999999</v>
      </c>
      <c r="H155" s="7">
        <v>0.20230000000000001</v>
      </c>
      <c r="I155" s="7">
        <v>0.40839999999999999</v>
      </c>
      <c r="J155">
        <f t="shared" si="21"/>
        <v>0.27876666666666666</v>
      </c>
      <c r="K155">
        <v>24</v>
      </c>
      <c r="L155" s="7">
        <v>0.2356</v>
      </c>
      <c r="M155" s="7">
        <v>0.30449999999999999</v>
      </c>
      <c r="N155" s="7">
        <v>0.41720000000000002</v>
      </c>
      <c r="O155">
        <f t="shared" si="22"/>
        <v>0.31909999999999999</v>
      </c>
      <c r="P155">
        <v>24</v>
      </c>
      <c r="Q155">
        <v>0.1118</v>
      </c>
      <c r="R155">
        <v>0.222</v>
      </c>
      <c r="S155">
        <v>0.23330000000000001</v>
      </c>
      <c r="T155" s="3">
        <f t="shared" si="23"/>
        <v>0.1890333333333333</v>
      </c>
      <c r="U155">
        <v>24</v>
      </c>
      <c r="V155" s="7">
        <v>9.5799999999999996E-2</v>
      </c>
      <c r="W155" s="7">
        <v>0.22009999999999999</v>
      </c>
      <c r="X155" s="7">
        <v>0.19719999999999999</v>
      </c>
      <c r="Y155">
        <f t="shared" si="24"/>
        <v>0.17103333333333329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A311-F61A-4139-B20B-0356F9CE3E5C}">
  <dimension ref="A1:H26"/>
  <sheetViews>
    <sheetView tabSelected="1" workbookViewId="0">
      <selection activeCell="J4" sqref="J4"/>
    </sheetView>
  </sheetViews>
  <sheetFormatPr defaultRowHeight="14.25" x14ac:dyDescent="0.45"/>
  <sheetData>
    <row r="1" spans="1:8" x14ac:dyDescent="0.45">
      <c r="A1" t="s">
        <v>65</v>
      </c>
      <c r="B1" t="s">
        <v>60</v>
      </c>
      <c r="C1" t="s">
        <v>61</v>
      </c>
      <c r="D1" t="s">
        <v>62</v>
      </c>
      <c r="E1" t="s">
        <v>63</v>
      </c>
      <c r="F1" s="15" t="s">
        <v>64</v>
      </c>
      <c r="G1" s="15" t="s">
        <v>66</v>
      </c>
      <c r="H1" s="15" t="s">
        <v>67</v>
      </c>
    </row>
    <row r="2" spans="1:8" x14ac:dyDescent="0.45">
      <c r="A2" t="s">
        <v>3</v>
      </c>
      <c r="B2">
        <f>LN(0.161633333333333)</f>
        <v>-1.8224248835389423</v>
      </c>
      <c r="C2">
        <f>LN(0.108)</f>
        <v>-2.2256240518579173</v>
      </c>
      <c r="D2">
        <v>24</v>
      </c>
      <c r="E2">
        <v>12</v>
      </c>
      <c r="F2">
        <f>(B2-C2)/(D2-E2)</f>
        <v>3.3599930693247924E-2</v>
      </c>
      <c r="G2" t="s">
        <v>3</v>
      </c>
      <c r="H2">
        <v>0</v>
      </c>
    </row>
    <row r="3" spans="1:8" x14ac:dyDescent="0.45">
      <c r="A3" t="s">
        <v>15</v>
      </c>
      <c r="B3">
        <f>LN(0.1819)</f>
        <v>-1.7042981934580606</v>
      </c>
      <c r="C3">
        <f>LN(0.128133333333333)</f>
        <v>-2.054683890554112</v>
      </c>
      <c r="D3">
        <v>24</v>
      </c>
      <c r="E3">
        <v>1</v>
      </c>
      <c r="F3">
        <f t="shared" ref="F3:F26" si="0">(B3-C3)/(D3-E3)</f>
        <v>1.5234160743306586E-2</v>
      </c>
      <c r="G3" t="s">
        <v>15</v>
      </c>
      <c r="H3">
        <v>0</v>
      </c>
    </row>
    <row r="4" spans="1:8" x14ac:dyDescent="0.45">
      <c r="A4" t="s">
        <v>25</v>
      </c>
      <c r="B4">
        <f>LN(0.3817)</f>
        <v>-0.96312031923095309</v>
      </c>
      <c r="C4">
        <f>LN(0.149233333333333)</f>
        <v>-1.9022442024033293</v>
      </c>
      <c r="D4">
        <v>24</v>
      </c>
      <c r="E4">
        <v>1</v>
      </c>
      <c r="F4">
        <f t="shared" si="0"/>
        <v>4.083147318140766E-2</v>
      </c>
      <c r="G4" t="s">
        <v>68</v>
      </c>
      <c r="H4">
        <v>3000</v>
      </c>
    </row>
    <row r="5" spans="1:8" x14ac:dyDescent="0.45">
      <c r="A5" t="s">
        <v>26</v>
      </c>
      <c r="B5">
        <f>LN(0.453066666666667)</f>
        <v>-0.79171599729252373</v>
      </c>
      <c r="C5">
        <f>LN(0.130866666666667)</f>
        <v>-2.0335762858078836</v>
      </c>
      <c r="D5">
        <v>22</v>
      </c>
      <c r="E5">
        <v>1</v>
      </c>
      <c r="F5">
        <f t="shared" si="0"/>
        <v>5.9136204215017141E-2</v>
      </c>
      <c r="G5" t="s">
        <v>68</v>
      </c>
      <c r="H5">
        <v>3000</v>
      </c>
    </row>
    <row r="6" spans="1:8" x14ac:dyDescent="0.45">
      <c r="A6" t="s">
        <v>30</v>
      </c>
      <c r="B6">
        <f>LN(0.270133333333333)</f>
        <v>-1.3088396147157744</v>
      </c>
      <c r="C6">
        <f>LN(0.188566666666667)</f>
        <v>-1.6683036653011349</v>
      </c>
      <c r="D6">
        <v>8</v>
      </c>
      <c r="E6">
        <v>1</v>
      </c>
      <c r="F6">
        <f t="shared" si="0"/>
        <v>5.1352007226480083E-2</v>
      </c>
      <c r="G6" t="s">
        <v>69</v>
      </c>
      <c r="H6">
        <v>3000</v>
      </c>
    </row>
    <row r="7" spans="1:8" x14ac:dyDescent="0.45">
      <c r="A7" t="s">
        <v>55</v>
      </c>
      <c r="B7">
        <f>LN(0.243133333333333)</f>
        <v>-1.4141452892756683</v>
      </c>
      <c r="C7">
        <f>LN(0.105833333333333)</f>
        <v>-2.2458897493175036</v>
      </c>
      <c r="D7">
        <v>22</v>
      </c>
      <c r="E7">
        <v>1</v>
      </c>
      <c r="F7">
        <f t="shared" si="0"/>
        <v>3.9606879049611209E-2</v>
      </c>
      <c r="G7" t="s">
        <v>70</v>
      </c>
      <c r="H7">
        <v>3000</v>
      </c>
    </row>
    <row r="8" spans="1:8" x14ac:dyDescent="0.45">
      <c r="A8" t="s">
        <v>34</v>
      </c>
      <c r="B8">
        <f>LN(0.3479)</f>
        <v>-1.0558401968242408</v>
      </c>
      <c r="C8">
        <f>LN(0.151266666666667)</f>
        <v>-1.8887109953045031</v>
      </c>
      <c r="D8">
        <v>12</v>
      </c>
      <c r="E8">
        <v>1</v>
      </c>
      <c r="F8">
        <f t="shared" si="0"/>
        <v>7.5715527134569305E-2</v>
      </c>
      <c r="G8" t="s">
        <v>68</v>
      </c>
      <c r="H8">
        <v>2000</v>
      </c>
    </row>
    <row r="9" spans="1:8" x14ac:dyDescent="0.45">
      <c r="A9" s="6" t="s">
        <v>35</v>
      </c>
      <c r="B9">
        <f>LN(0.333166666666667)</f>
        <v>-1.099112413709791</v>
      </c>
      <c r="C9">
        <f>LN(0.134733333333333)</f>
        <v>-2.0044577626807283</v>
      </c>
      <c r="D9">
        <v>20</v>
      </c>
      <c r="E9">
        <v>2</v>
      </c>
      <c r="F9">
        <f t="shared" si="0"/>
        <v>5.0296963831718743E-2</v>
      </c>
      <c r="G9" t="s">
        <v>69</v>
      </c>
      <c r="H9">
        <v>2000</v>
      </c>
    </row>
    <row r="10" spans="1:8" x14ac:dyDescent="0.45">
      <c r="A10" s="6" t="s">
        <v>36</v>
      </c>
      <c r="B10">
        <f>LN(0.255566666666667)</f>
        <v>-1.3642719770853966</v>
      </c>
      <c r="C10">
        <f>LN(0.113133333333333)</f>
        <v>-2.1791882148501238</v>
      </c>
      <c r="D10">
        <v>15</v>
      </c>
      <c r="E10">
        <v>1</v>
      </c>
      <c r="F10">
        <f t="shared" si="0"/>
        <v>5.8208302697480514E-2</v>
      </c>
      <c r="G10" t="s">
        <v>69</v>
      </c>
      <c r="H10">
        <v>3000</v>
      </c>
    </row>
    <row r="11" spans="1:8" x14ac:dyDescent="0.45">
      <c r="A11" s="6" t="s">
        <v>37</v>
      </c>
      <c r="B11">
        <f>LN(0.2391)</f>
        <v>-1.4308734045178579</v>
      </c>
      <c r="C11">
        <f>LN(0.115666666666667)</f>
        <v>-2.1570427877033849</v>
      </c>
      <c r="D11">
        <v>15</v>
      </c>
      <c r="E11">
        <v>1</v>
      </c>
      <c r="F11">
        <f t="shared" si="0"/>
        <v>5.1869241656109066E-2</v>
      </c>
      <c r="G11" t="s">
        <v>69</v>
      </c>
      <c r="H11">
        <v>3000</v>
      </c>
    </row>
    <row r="12" spans="1:8" x14ac:dyDescent="0.45">
      <c r="A12" t="s">
        <v>38</v>
      </c>
      <c r="B12">
        <f>LN(0.212433333333333)</f>
        <v>-1.5491270653299998</v>
      </c>
      <c r="C12">
        <f>LN(0.124666666666667)</f>
        <v>-2.0821117702357124</v>
      </c>
      <c r="D12">
        <v>15</v>
      </c>
      <c r="E12">
        <v>2</v>
      </c>
      <c r="F12">
        <f t="shared" si="0"/>
        <v>4.0998823454285585E-2</v>
      </c>
      <c r="G12" t="s">
        <v>69</v>
      </c>
      <c r="H12">
        <v>1000</v>
      </c>
    </row>
    <row r="13" spans="1:8" x14ac:dyDescent="0.45">
      <c r="A13" t="s">
        <v>39</v>
      </c>
      <c r="B13">
        <f>LN(0.216166666666667)</f>
        <v>-1.5317055638937467</v>
      </c>
      <c r="C13">
        <f>LN(0.118566666666667)</f>
        <v>-2.1322798886958343</v>
      </c>
      <c r="D13">
        <v>19</v>
      </c>
      <c r="E13">
        <v>2</v>
      </c>
      <c r="F13">
        <f t="shared" si="0"/>
        <v>3.5327901458946327E-2</v>
      </c>
      <c r="G13" t="s">
        <v>68</v>
      </c>
      <c r="H13">
        <v>2000</v>
      </c>
    </row>
    <row r="14" spans="1:8" x14ac:dyDescent="0.45">
      <c r="A14" t="s">
        <v>40</v>
      </c>
      <c r="B14">
        <f>LN(0.337)</f>
        <v>-1.0876723486297752</v>
      </c>
      <c r="C14">
        <f>LN(0.127733333333333)</f>
        <v>-2.0578105215535438</v>
      </c>
      <c r="D14">
        <v>24</v>
      </c>
      <c r="E14">
        <v>2</v>
      </c>
      <c r="F14">
        <f t="shared" si="0"/>
        <v>4.4097189678353119E-2</v>
      </c>
      <c r="G14" t="s">
        <v>68</v>
      </c>
      <c r="H14">
        <v>2000</v>
      </c>
    </row>
    <row r="15" spans="1:8" x14ac:dyDescent="0.45">
      <c r="A15" t="s">
        <v>41</v>
      </c>
      <c r="B15">
        <f>LN(0.286733333333333)</f>
        <v>-1.2492026473006119</v>
      </c>
      <c r="C15">
        <f>LN(0.1673)</f>
        <v>-1.7879666709893587</v>
      </c>
      <c r="D15">
        <v>11</v>
      </c>
      <c r="E15">
        <v>2</v>
      </c>
      <c r="F15">
        <f t="shared" si="0"/>
        <v>5.9862669298749643E-2</v>
      </c>
      <c r="G15" t="s">
        <v>69</v>
      </c>
      <c r="H15">
        <v>2000</v>
      </c>
    </row>
    <row r="16" spans="1:8" x14ac:dyDescent="0.45">
      <c r="A16" t="s">
        <v>42</v>
      </c>
      <c r="B16">
        <f>LN(0.402033333333333)</f>
        <v>-0.9112202750610503</v>
      </c>
      <c r="C16">
        <f>LN(0.1484)</f>
        <v>-1.9078439482488569</v>
      </c>
      <c r="D16">
        <v>18</v>
      </c>
      <c r="E16">
        <v>2</v>
      </c>
      <c r="F16">
        <f t="shared" si="0"/>
        <v>6.2288979574237915E-2</v>
      </c>
      <c r="G16" t="s">
        <v>68</v>
      </c>
      <c r="H16">
        <v>1000</v>
      </c>
    </row>
    <row r="17" spans="1:8" x14ac:dyDescent="0.45">
      <c r="A17" t="s">
        <v>43</v>
      </c>
      <c r="B17">
        <f>LN(0.3509)</f>
        <v>-1.0472539963929677</v>
      </c>
      <c r="C17">
        <f>LN(0.156266666666667)</f>
        <v>-1.8561913293874417</v>
      </c>
      <c r="D17">
        <v>18</v>
      </c>
      <c r="E17">
        <v>2</v>
      </c>
      <c r="F17">
        <f t="shared" si="0"/>
        <v>5.0558583312154626E-2</v>
      </c>
      <c r="G17" t="s">
        <v>68</v>
      </c>
      <c r="H17">
        <v>1000</v>
      </c>
    </row>
    <row r="18" spans="1:8" x14ac:dyDescent="0.45">
      <c r="A18" t="s">
        <v>44</v>
      </c>
      <c r="B18">
        <f>LN(0.215433333333333)</f>
        <v>-1.5351037753813985</v>
      </c>
      <c r="C18">
        <f>LN(0.128766666666667)</f>
        <v>-2.0497532979780084</v>
      </c>
      <c r="D18">
        <v>15</v>
      </c>
      <c r="E18">
        <v>2</v>
      </c>
      <c r="F18">
        <f t="shared" si="0"/>
        <v>3.958842481512384E-2</v>
      </c>
      <c r="G18" t="s">
        <v>69</v>
      </c>
      <c r="H18">
        <v>1000</v>
      </c>
    </row>
    <row r="19" spans="1:8" x14ac:dyDescent="0.45">
      <c r="A19" t="s">
        <v>45</v>
      </c>
      <c r="B19">
        <f>LN(0.194566666666667)</f>
        <v>-1.6369804154404997</v>
      </c>
      <c r="C19">
        <f>LN(0.1119)</f>
        <v>-2.1901496636642577</v>
      </c>
      <c r="D19">
        <v>10</v>
      </c>
      <c r="E19">
        <v>2</v>
      </c>
      <c r="F19">
        <f t="shared" si="0"/>
        <v>6.9146156027969752E-2</v>
      </c>
      <c r="G19" t="s">
        <v>70</v>
      </c>
      <c r="H19">
        <v>1000</v>
      </c>
    </row>
    <row r="20" spans="1:8" x14ac:dyDescent="0.45">
      <c r="A20" t="s">
        <v>48</v>
      </c>
      <c r="B20">
        <f>LN(0.238033333333333)</f>
        <v>-1.4353445590951839</v>
      </c>
      <c r="C20">
        <f>LN(0.121166666666667)</f>
        <v>-2.1105882706766699</v>
      </c>
      <c r="D20">
        <v>23</v>
      </c>
      <c r="E20">
        <v>2</v>
      </c>
      <c r="F20">
        <f t="shared" si="0"/>
        <v>3.2154462456261239E-2</v>
      </c>
      <c r="G20" t="s">
        <v>69</v>
      </c>
      <c r="H20">
        <v>1000</v>
      </c>
    </row>
    <row r="21" spans="1:8" x14ac:dyDescent="0.45">
      <c r="A21" t="s">
        <v>49</v>
      </c>
      <c r="B21">
        <f>LN(0.3913)</f>
        <v>-0.93828074976577036</v>
      </c>
      <c r="C21">
        <f>LN(0.1472)</f>
        <v>-1.9159630726873611</v>
      </c>
      <c r="D21">
        <v>24</v>
      </c>
      <c r="E21">
        <v>2</v>
      </c>
      <c r="F21">
        <f t="shared" si="0"/>
        <v>4.4440105587345034E-2</v>
      </c>
      <c r="G21" t="s">
        <v>68</v>
      </c>
      <c r="H21">
        <v>3000</v>
      </c>
    </row>
    <row r="22" spans="1:8" x14ac:dyDescent="0.45">
      <c r="A22" s="6" t="s">
        <v>50</v>
      </c>
      <c r="B22">
        <f>LN(0.150166666666667)</f>
        <v>-1.8960094906018519</v>
      </c>
      <c r="C22">
        <f>LN(0.130966666666667)</f>
        <v>-2.0328124410858299</v>
      </c>
      <c r="D22">
        <v>11</v>
      </c>
      <c r="E22">
        <v>2</v>
      </c>
      <c r="F22">
        <f t="shared" si="0"/>
        <v>1.5200327831553118E-2</v>
      </c>
      <c r="G22" t="s">
        <v>70</v>
      </c>
      <c r="H22">
        <v>2000</v>
      </c>
    </row>
    <row r="23" spans="1:8" x14ac:dyDescent="0.45">
      <c r="A23" s="6" t="s">
        <v>52</v>
      </c>
      <c r="B23">
        <f>LN(0.350266666666667)</f>
        <v>-1.049060509838861</v>
      </c>
      <c r="C23">
        <f>LN(0.133566666666667)</f>
        <v>-2.0131545500081454</v>
      </c>
      <c r="D23">
        <v>16</v>
      </c>
      <c r="E23">
        <v>2</v>
      </c>
      <c r="F23">
        <f t="shared" si="0"/>
        <v>6.8863860012091743E-2</v>
      </c>
      <c r="G23" t="s">
        <v>70</v>
      </c>
      <c r="H23">
        <v>1000</v>
      </c>
    </row>
    <row r="24" spans="1:8" x14ac:dyDescent="0.45">
      <c r="A24" s="6" t="s">
        <v>54</v>
      </c>
      <c r="B24">
        <f>LN(0.321966666666667)</f>
        <v>-1.1333072584649955</v>
      </c>
      <c r="C24">
        <f>LN(0.1173)</f>
        <v>-2.1430205233227073</v>
      </c>
      <c r="D24">
        <v>22</v>
      </c>
      <c r="E24">
        <v>2</v>
      </c>
      <c r="F24">
        <f t="shared" si="0"/>
        <v>5.0485663242885594E-2</v>
      </c>
      <c r="G24" t="s">
        <v>69</v>
      </c>
      <c r="H24">
        <v>2000</v>
      </c>
    </row>
    <row r="25" spans="1:8" x14ac:dyDescent="0.45">
      <c r="A25" s="6" t="s">
        <v>58</v>
      </c>
      <c r="B25">
        <f>LN(0.231466666666667)</f>
        <v>-1.4633194043041049</v>
      </c>
      <c r="C25">
        <f>LN(0.159733333333333)</f>
        <v>-1.8342495208490093</v>
      </c>
      <c r="D25">
        <v>22</v>
      </c>
      <c r="E25">
        <v>3</v>
      </c>
      <c r="F25">
        <f t="shared" si="0"/>
        <v>1.9522637712889705E-2</v>
      </c>
      <c r="G25" t="s">
        <v>70</v>
      </c>
      <c r="H25">
        <v>3000</v>
      </c>
    </row>
    <row r="26" spans="1:8" x14ac:dyDescent="0.45">
      <c r="A26" s="6" t="s">
        <v>59</v>
      </c>
      <c r="B26">
        <f>LN(0.238433333333333)</f>
        <v>-1.43366553253591</v>
      </c>
      <c r="C26">
        <f>LN(0.1107)</f>
        <v>-2.2009314392675456</v>
      </c>
      <c r="D26">
        <v>15</v>
      </c>
      <c r="E26">
        <v>1</v>
      </c>
      <c r="F26">
        <f t="shared" si="0"/>
        <v>5.4804707623688262E-2</v>
      </c>
      <c r="G26" t="s">
        <v>68</v>
      </c>
      <c r="H2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2025-07-24T14:32:10Z</dcterms:created>
  <dcterms:modified xsi:type="dcterms:W3CDTF">2025-08-01T15:00:10Z</dcterms:modified>
</cp:coreProperties>
</file>